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onthly_1Y" sheetId="2" r:id="rId5"/>
    <sheet state="visible" name="Verified_Observations" sheetId="3" r:id="rId6"/>
    <sheet state="visible" name="USD_Day" sheetId="4" r:id="rId7"/>
    <sheet state="visible" name="USD_MT" sheetId="5" r:id="rId8"/>
    <sheet state="visible" name="Source_Availability" sheetId="6" r:id="rId9"/>
    <sheet state="visible" name="Charts" sheetId="7" r:id="rId10"/>
  </sheets>
  <definedNames/>
  <calcPr/>
  <extLst>
    <ext uri="GoogleSheetsCustomDataVersion2">
      <go:sheetsCustomData xmlns:go="http://customooxmlschemas.google.com/" r:id="rId11" roundtripDataChecksum="5CCuJ9o7JbvAhzvxHJ9rIzI+lAFD+4dWevlEe1Jn9GQ="/>
    </ext>
  </extLst>
</workbook>
</file>

<file path=xl/sharedStrings.xml><?xml version="1.0" encoding="utf-8"?>
<sst xmlns="http://schemas.openxmlformats.org/spreadsheetml/2006/main" count="705" uniqueCount="261">
  <si>
    <t>NAUGATI — 12-MONTH HISTORICAL FREIGHT RATE WORKBOOK</t>
  </si>
  <si>
    <t>Coverage window: Aug 2025 to Jul 2026. This workbook separates USD/day and USD/MT because they are different commercial rate units. Rows marked 're-audit recommended' are public-report values from prior extraction and should be checked against the original PDF before ML training.</t>
  </si>
  <si>
    <t>Sheet</t>
  </si>
  <si>
    <t>Purpose</t>
  </si>
  <si>
    <t>Monthly_1Y</t>
  </si>
  <si>
    <t>One representative public India-relevant freight observation for each month.</t>
  </si>
  <si>
    <t>Verified_Observations</t>
  </si>
  <si>
    <t>Detailed row-level observations with date/period, route, vessel, unit, type and source URL.</t>
  </si>
  <si>
    <t>USD_Day</t>
  </si>
  <si>
    <t>Only USD/day rows; suitable for daily-hire comparisons.</t>
  </si>
  <si>
    <t>USD_MT</t>
  </si>
  <si>
    <t>Only USD/MT rows; suitable for voyage-rate comparisons.</t>
  </si>
  <si>
    <t>Source_Availability</t>
  </si>
  <si>
    <t>What public report coverage exists month by month.</t>
  </si>
  <si>
    <t>Charts</t>
  </si>
  <si>
    <t>Visual summaries. Units are never mixed on the same rate chart.</t>
  </si>
  <si>
    <t>Date / Period</t>
  </si>
  <si>
    <t>Month</t>
  </si>
  <si>
    <t>Origin</t>
  </si>
  <si>
    <t>Destination</t>
  </si>
  <si>
    <t>Vessel</t>
  </si>
  <si>
    <t>Cargo</t>
  </si>
  <si>
    <t>Route</t>
  </si>
  <si>
    <t>DWT</t>
  </si>
  <si>
    <t>Rate Low</t>
  </si>
  <si>
    <t>Rate High</t>
  </si>
  <si>
    <t>Mid Rate</t>
  </si>
  <si>
    <t>Unit</t>
  </si>
  <si>
    <t>Observation Type</t>
  </si>
  <si>
    <t>Source</t>
  </si>
  <si>
    <t>Source URL</t>
  </si>
  <si>
    <t>Source Note</t>
  </si>
  <si>
    <t>Type</t>
  </si>
  <si>
    <t>2025-08-21</t>
  </si>
  <si>
    <t>Australia via Nagoya</t>
  </si>
  <si>
    <t>Quality Note</t>
  </si>
  <si>
    <t>India</t>
  </si>
  <si>
    <t>Kamsarmax/Panamax</t>
  </si>
  <si>
    <t>Aug-2025</t>
  </si>
  <si>
    <t>Bulk cargo</t>
  </si>
  <si>
    <t>21-Aug-2025</t>
  </si>
  <si>
    <t>Australia -&gt; India</t>
  </si>
  <si>
    <t>Kamsarmax / Panamax</t>
  </si>
  <si>
    <t>Reported fixture</t>
  </si>
  <si>
    <t>USD/day</t>
  </si>
  <si>
    <t>https://new.marexmedia.com/2025/08/25/baltic-index-and-trade-insights/</t>
  </si>
  <si>
    <t>Marex Bulletin</t>
  </si>
  <si>
    <t>2025-09-19 to 2025-09-26</t>
  </si>
  <si>
    <t>Australia</t>
  </si>
  <si>
    <t>Marex Bulletin - Baltic Index and Trade Insights</t>
  </si>
  <si>
    <t>Theodore JR 2015 81,715 DWT via Australia redelivery India at $15,000/day</t>
  </si>
  <si>
    <t>Theodore JR, 81,715 DWT, Nagoya delivery via Australia redelivery India at USD 15,000/day.</t>
  </si>
  <si>
    <t>Sep-2025</t>
  </si>
  <si>
    <t>19-26 Sep 2025</t>
  </si>
  <si>
    <t>Market range</t>
  </si>
  <si>
    <t>https://www.hyqfocus.com/resource/report/1759382058202/report.pdf</t>
  </si>
  <si>
    <t>Continent via US East Coast</t>
  </si>
  <si>
    <t>India / SE Asia</t>
  </si>
  <si>
    <t>Dry Bulk Commentary W39</t>
  </si>
  <si>
    <t>Australian trips into India reported at $15,000-16,000/day</t>
  </si>
  <si>
    <t>Dry Bulk Commentary Week 39/2025</t>
  </si>
  <si>
    <t>Australian trips into India reported at USD 15,000-16,000/day.</t>
  </si>
  <si>
    <t>Oct-2025</t>
  </si>
  <si>
    <t>Week ending 31-Oct-2025</t>
  </si>
  <si>
    <t>Continent -&gt; US East Coast -&gt; India</t>
  </si>
  <si>
    <t>2025-10-31</t>
  </si>
  <si>
    <t>82k DWT Kamsarmax</t>
  </si>
  <si>
    <t>Coal</t>
  </si>
  <si>
    <t>Kamsarmax</t>
  </si>
  <si>
    <t>Continental trips via USEC into India or SE Asia at $26,000-28,000/day</t>
  </si>
  <si>
    <t>Baltic Exchange Week 44</t>
  </si>
  <si>
    <t>https://www.balticexchange.com/en/data-services/WeeklyRoundup/dry/news/2025/bulk-report-week-44.html</t>
  </si>
  <si>
    <t>2025-11-07 to 2025-11-14</t>
  </si>
  <si>
    <t>82,000 DWT delivery Continent, via US East Coast, redelivery India with coal at USD 27,000/day.</t>
  </si>
  <si>
    <t>Indonesia / Australia</t>
  </si>
  <si>
    <t>Nov-2025</t>
  </si>
  <si>
    <t>07-14 Nov 2025</t>
  </si>
  <si>
    <t>Indonesia / Australia -&gt; India</t>
  </si>
  <si>
    <t>82,000 DWT to India with coal at $27,000/day</t>
  </si>
  <si>
    <t>https://bluverve.com/uploads/report/39E99DC4-0DF7-48B1-853B-AF922F1B219A.pdf</t>
  </si>
  <si>
    <t>2026-02-16 to 2026-02-20</t>
  </si>
  <si>
    <t>Hay Point, Australia</t>
  </si>
  <si>
    <t>Visakhapatnam, India</t>
  </si>
  <si>
    <t>Panamax</t>
  </si>
  <si>
    <t>Metallurgical coal</t>
  </si>
  <si>
    <t>Dry Bulk Commentary Week 46/2025</t>
  </si>
  <si>
    <t>Indonesian and Australian trips into India reported at USD 17,000-19,000/day.</t>
  </si>
  <si>
    <t>Dec-2025</t>
  </si>
  <si>
    <t>Dry Bulk Commentary W46</t>
  </si>
  <si>
    <t>24-Nov to 01-Dec 2025</t>
  </si>
  <si>
    <t>Gibraltar -&gt; US East Coast -&gt; India</t>
  </si>
  <si>
    <t>https://www.hellenicshippingnews.com/wp-content/uploads/2026/02/Bancosta-Weekly-2026-08_compressed.pdf</t>
  </si>
  <si>
    <t>81,944 DWT Kamsarmax</t>
  </si>
  <si>
    <t>Indonesian/Australian trips into India at $17,000-19,000/day</t>
  </si>
  <si>
    <t>Hay Point / East Australia</t>
  </si>
  <si>
    <t>Paradip, India</t>
  </si>
  <si>
    <t>2025-11-24 to 2025-12-01</t>
  </si>
  <si>
    <t>Gibraltar via US East Coast</t>
  </si>
  <si>
    <t>Banchero Costa weekly report via SteelOrbis</t>
  </si>
  <si>
    <t>https://www.steelorbis.com/steel-prices/steel-matters/november-24-december-1-2025-weekly-market-report-banchero-costa-1422637.htm</t>
  </si>
  <si>
    <t>Market assessment</t>
  </si>
  <si>
    <t>Ocean Venus, 83,416 DWT, Gibraltar via US East Coast redelivery India at USD 26,000/day.</t>
  </si>
  <si>
    <t>Jan-2026</t>
  </si>
  <si>
    <t>21-Jan-2026</t>
  </si>
  <si>
    <t>South Africa (port not stated)</t>
  </si>
  <si>
    <t>Pacific benchmark</t>
  </si>
  <si>
    <t>Panamax / Kamsarmax</t>
  </si>
  <si>
    <t>Benchmark</t>
  </si>
  <si>
    <t>Continent via USEC into India at $20,000-27,000/day</t>
  </si>
  <si>
    <t>1-year TC benchmark</t>
  </si>
  <si>
    <t>Phaata Logistics Market Update Week 4/2026</t>
  </si>
  <si>
    <t>https://cdn.phaata.com/files/market/2026/Phaata-Logistics-Market-Update-Week-4-2026-EN.pdf</t>
  </si>
  <si>
    <t>Not India-route specific; included as a Panamax/Kamsarmax market benchmark for January.</t>
  </si>
  <si>
    <t>2026-03-06</t>
  </si>
  <si>
    <t>2026-01-21</t>
  </si>
  <si>
    <t>Feb-2026</t>
  </si>
  <si>
    <t>16-20 Feb 2026</t>
  </si>
  <si>
    <t>Hay Point, Australia -&gt; Visakhapatnam, India</t>
  </si>
  <si>
    <t>N/A</t>
  </si>
  <si>
    <t>Panamax market context</t>
  </si>
  <si>
    <t>75,000 MT metallurgical coal</t>
  </si>
  <si>
    <t>Panamax/Kamsarmax</t>
  </si>
  <si>
    <t>Banchero Costa via SteelOrbis</t>
  </si>
  <si>
    <t>Fixture</t>
  </si>
  <si>
    <t>https://www.scribd.com/document/1009938919/Dry-Freight-Wire-06-Mar-2026</t>
  </si>
  <si>
    <t>Ocean Venus Gibraltar via USEC redelivery India at $26,000/day</t>
  </si>
  <si>
    <t>USD/MT</t>
  </si>
  <si>
    <t>Port Kembla, Australia</t>
  </si>
  <si>
    <t>Banchero Costa Week 08/2026</t>
  </si>
  <si>
    <t>75,000 MT +/-10% met coal reportedly fixed at USD 20/MT.</t>
  </si>
  <si>
    <t>Mar-2026</t>
  </si>
  <si>
    <t>09-16 Mar 2026</t>
  </si>
  <si>
    <t>Norfolk, USA -&gt; East Coast India</t>
  </si>
  <si>
    <t>2026-02-12</t>
  </si>
  <si>
    <t>Global Panamax benchmark</t>
  </si>
  <si>
    <t>Taboneo, Indonesia</t>
  </si>
  <si>
    <t>Phaata Logistics Market Update</t>
  </si>
  <si>
    <t>Supramax</t>
  </si>
  <si>
    <t>Panamax/Kamsarmax Pacific 1-year TC benchmark; not India-route specific</t>
  </si>
  <si>
    <t>Banchero Costa 09-16 Mar 2026</t>
  </si>
  <si>
    <t>BPI 82</t>
  </si>
  <si>
    <t>https://www.steelorbis.com/steel-prices/steel-matters/march-9-16-2026-weekly-market-report-banchero-costa-1442332.htm</t>
  </si>
  <si>
    <t>Kamsarmax spot voyage Norfolk to East Coast India at USD 42.95/MT.</t>
  </si>
  <si>
    <t>Apr-2026</t>
  </si>
  <si>
    <t>Week 16/2026</t>
  </si>
  <si>
    <t>Conakry -&gt; East Coast India</t>
  </si>
  <si>
    <t>Panamax / Kamsarmax context</t>
  </si>
  <si>
    <t>2026-03-09 to 2026-03-16</t>
  </si>
  <si>
    <t>Norfolk, USA</t>
  </si>
  <si>
    <t>East Coast India</t>
  </si>
  <si>
    <t>Baltic benchmark</t>
  </si>
  <si>
    <t>https://new.marexmedia.com/2026/02/16/global-commerce-briefing/</t>
  </si>
  <si>
    <t>Reported market level</t>
  </si>
  <si>
    <t>2026-03-20</t>
  </si>
  <si>
    <t>Banchero Costa Week 16/2026</t>
  </si>
  <si>
    <t>https://www.hellenicshippingnews.com/wp-content/uploads/2026/04/Bancosta-Weekly-2026-16.pdf</t>
  </si>
  <si>
    <t>US Gulf</t>
  </si>
  <si>
    <t>Public Week 16 report; value should be re-audited from the original PDF before ML use.</t>
  </si>
  <si>
    <t>May-2026</t>
  </si>
  <si>
    <t>2026-04</t>
  </si>
  <si>
    <t>Week 19/2026</t>
  </si>
  <si>
    <t>Conakry</t>
  </si>
  <si>
    <t>East Australia -&gt; India</t>
  </si>
  <si>
    <t>Marex Global Commerce Briefing</t>
  </si>
  <si>
    <t>~82k DWT Kamsarmax</t>
  </si>
  <si>
    <t>BPI82 TC average $15,897/day on 12-Feb-2026</t>
  </si>
  <si>
    <t>Banchero Costa Week 19/2026</t>
  </si>
  <si>
    <t>2026-07</t>
  </si>
  <si>
    <t>https://www.hellenicshippingnews.com/wp-content/uploads/2026/05/Bancosta-Weekly-2026-19_compressed.pdf</t>
  </si>
  <si>
    <t>https://www.hellenicshippingnews.com/wp-content/uploads/2026/03/Bancosta-Weekly-2026-12.pdf</t>
  </si>
  <si>
    <t>Public report value from prior source extraction; re-audit original page before ML use.</t>
  </si>
  <si>
    <t>Jun-2026</t>
  </si>
  <si>
    <t>Week 25/2026</t>
  </si>
  <si>
    <t>East Coast Australia</t>
  </si>
  <si>
    <t>Indonesia -&gt; India</t>
  </si>
  <si>
    <t>Banchero Costa W08</t>
  </si>
  <si>
    <t>Multiple laycans / fixture range</t>
  </si>
  <si>
    <t>https://www.hellenicshippingnews.com/wp-content/uploads/2026/07/Bancosta-Weekly-2026-29.pdf</t>
  </si>
  <si>
    <t>75,000 MT +/-10% reportedly fixed at $20/MT</t>
  </si>
  <si>
    <t>Banchero Costa Week 25/2026</t>
  </si>
  <si>
    <t>Abbot Point, Australia</t>
  </si>
  <si>
    <t>https://www.hellenicshippingnews.com/wp-content/uploads/2026/06/Bancosta-Weekly-2026-25.pdf</t>
  </si>
  <si>
    <t>Jul-2026</t>
  </si>
  <si>
    <t>Week 29/2026</t>
  </si>
  <si>
    <t>Fixture range / multiple laycans</t>
  </si>
  <si>
    <t>Banchero Costa Week 29/2026</t>
  </si>
  <si>
    <t>Indicative level around $18/MT</t>
  </si>
  <si>
    <t>Multiple reported levels across laycans: USD 20.80, 21.50 and 22.00/MT.</t>
  </si>
  <si>
    <t>2026-03-27</t>
  </si>
  <si>
    <t>Indonesia</t>
  </si>
  <si>
    <t>South African coal to Paradip at $15.05/MT</t>
  </si>
  <si>
    <t>https://www.hellenicshippingnews.com/wp-content/uploads/2026/03/Bancosta-Weekly-2026-13.pdf</t>
  </si>
  <si>
    <t>Platts Dry Freight Wire</t>
  </si>
  <si>
    <t>75,000 MT +/-10% met coal; fixed Mar 5; $23.40/MT; charterer SAIL</t>
  </si>
  <si>
    <t>2026-05</t>
  </si>
  <si>
    <t>East Australia</t>
  </si>
  <si>
    <t>75,000 MT +/-10% met coal; $21.20/MT; charterer Jindal Global</t>
  </si>
  <si>
    <t>2026-06</t>
  </si>
  <si>
    <t>55,000 MT +/-10% coal; $14.85/MT</t>
  </si>
  <si>
    <t>Public / Commercial Sources</t>
  </si>
  <si>
    <t>Access</t>
  </si>
  <si>
    <t>Status</t>
  </si>
  <si>
    <t>Use</t>
  </si>
  <si>
    <t>2025-08</t>
  </si>
  <si>
    <t>Banchero weekly reports; Marex Baltic bulletin</t>
  </si>
  <si>
    <t>Public / mixed</t>
  </si>
  <si>
    <t>Available</t>
  </si>
  <si>
    <t>Use for fixture examples + market benchmarks</t>
  </si>
  <si>
    <t>2025-09</t>
  </si>
  <si>
    <t>Banchero weeks 36-39; dry-bulk commentaries</t>
  </si>
  <si>
    <t>Public</t>
  </si>
  <si>
    <t>Banchero Costa 09-16 Mar</t>
  </si>
  <si>
    <t>Good India-bound Panamax examples</t>
  </si>
  <si>
    <t>2025-10</t>
  </si>
  <si>
    <t>Banchero weeks 40-44; Baltic weekly</t>
  </si>
  <si>
    <t>India-bound USEC fixture examples</t>
  </si>
  <si>
    <t>2025-11</t>
  </si>
  <si>
    <t>Banchero weeks 45-48; dry-bulk commentaries</t>
  </si>
  <si>
    <t>Kamsarmax Norfolk -&gt; East Coast India at $42.95/MT</t>
  </si>
  <si>
    <t>India-bound ranges and fixtures</t>
  </si>
  <si>
    <t>2025-12</t>
  </si>
  <si>
    <t>Banchero late Nov-Dec reports; Marex</t>
  </si>
  <si>
    <t>USEC -&gt; India reported fixtures</t>
  </si>
  <si>
    <t>2026-01</t>
  </si>
  <si>
    <t>Market updates / broker reports</t>
  </si>
  <si>
    <t>Public / partial</t>
  </si>
  <si>
    <t>Partial</t>
  </si>
  <si>
    <t>Fewer directly searchable India-route observations</t>
  </si>
  <si>
    <t>2026-02</t>
  </si>
  <si>
    <t>Banchero W08; Marex Baltic</t>
  </si>
  <si>
    <t>Strong route-specific USD/MT examples</t>
  </si>
  <si>
    <t>2026-03</t>
  </si>
  <si>
    <t>Banchero W09-W13; Platts Dry Freight Wire</t>
  </si>
  <si>
    <t>Public + commercial excerpts</t>
  </si>
  <si>
    <t>Best public month: fixtures + route assessments</t>
  </si>
  <si>
    <t>Banchero W14-W17</t>
  </si>
  <si>
    <t>Public report archive</t>
  </si>
  <si>
    <t>Original PDF audit recommended</t>
  </si>
  <si>
    <t>Banchero W18-W21</t>
  </si>
  <si>
    <t>Banchero W22-W25</t>
  </si>
  <si>
    <t>Banchero W26-W29</t>
  </si>
  <si>
    <t>USD/day + BB</t>
  </si>
  <si>
    <t>Strong Australia -&gt; Vizag route examples</t>
  </si>
  <si>
    <t>Banchero Costa W12</t>
  </si>
  <si>
    <t>$25,000/day + $550,000 ballast bonus</t>
  </si>
  <si>
    <t>Lianyungang via East Coast Australia redelivery India $22,500/day</t>
  </si>
  <si>
    <t>Lanbei via Australia redelivery India $25,000/day</t>
  </si>
  <si>
    <t>Banchero Costa W13</t>
  </si>
  <si>
    <t>75,000 DWT Singapore via Indonesia redelivery India with coal at $20,000/day</t>
  </si>
  <si>
    <t>Newbuilding open Lanbei to India up to $25,000/day</t>
  </si>
  <si>
    <t>Banchero Costa W16</t>
  </si>
  <si>
    <t>Value from prior public-report extraction; re-audit original PDF before model use</t>
  </si>
  <si>
    <t>Banchero Costa W19</t>
  </si>
  <si>
    <t>Banchero Costa W25</t>
  </si>
  <si>
    <t>Banchero Costa W29</t>
  </si>
  <si>
    <t>Reported levels across laycans: $20.80, $21.50 and $22.00/MT</t>
  </si>
  <si>
    <t>Reported at $20.35/MT</t>
  </si>
  <si>
    <t>NAUGATI — 12-MONTH FREIGHT RATE VISUALS</t>
  </si>
  <si>
    <t>USD/day midpoint</t>
  </si>
  <si>
    <t>USD/MT midpoint</t>
  </si>
  <si>
    <t>Observation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</si>
</sst>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1.0"/>
      <color rgb="FF17212B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B1F33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DFF7F1"/>
        <bgColor rgb="FFDFF7F1"/>
      </patternFill>
    </fill>
    <fill>
      <patternFill patternType="solid">
        <fgColor rgb="FF0E7490"/>
        <bgColor rgb="FF0E7490"/>
      </patternFill>
    </fill>
    <fill>
      <patternFill patternType="solid">
        <fgColor rgb="FFE3B341"/>
        <bgColor rgb="FFE3B341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shrinkToFit="0" wrapText="1"/>
    </xf>
    <xf borderId="0" fillId="0" fontId="5" numFmtId="0" xfId="0" applyAlignment="1" applyFont="1">
      <alignment shrinkToFit="0" wrapText="1"/>
    </xf>
    <xf borderId="10" fillId="4" fontId="4" numFmtId="0" xfId="0" applyAlignment="1" applyBorder="1" applyFill="1" applyFont="1">
      <alignment horizontal="left" readingOrder="0" shrinkToFit="0" vertical="center" wrapText="1"/>
    </xf>
    <xf borderId="10" fillId="2" fontId="4" numFmtId="0" xfId="0" applyAlignment="1" applyBorder="1" applyFill="1" applyFont="1">
      <alignment horizontal="left" readingOrder="0" shrinkToFit="0" vertical="center" wrapText="1"/>
    </xf>
    <xf borderId="10" fillId="2" fontId="4" numFmtId="0" xfId="0" applyAlignment="1" applyBorder="1" applyFill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3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10" fillId="5" fontId="6" numFmtId="0" xfId="0" applyAlignment="1" applyBorder="1" applyFill="1" applyFont="1">
      <alignment horizontal="left" readingOrder="0" shrinkToFit="0" vertical="center" wrapText="0"/>
    </xf>
    <xf borderId="10" fillId="4" fontId="4" numFmtId="0" xfId="0" applyBorder="1" applyFill="1" applyFont="1"/>
    <xf borderId="1" fillId="2" fontId="1" numFmtId="0" xfId="0" applyAlignment="1" applyBorder="1" applyFill="1" applyFont="1">
      <alignment horizontal="center"/>
    </xf>
    <xf borderId="10" fillId="3" fontId="6" numFmtId="0" xfId="0" applyBorder="1" applyFill="1" applyFont="1"/>
    <xf borderId="0" fillId="0" fontId="7" numFmtId="0" xfId="0" applyFont="1"/>
    <xf borderId="10" fillId="5" fontId="6" numFmtId="0" xfId="0" applyBorder="1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</dxfs>
  <tableStyles count="4">
    <tableStyle count="4" pivot="0" name="Verified_Observ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D_D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_1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D_M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representative India-relevant USD/day freight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USD/day midpoint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Charts!$A$4:$A$10</c:f>
            </c:strRef>
          </c:cat>
          <c:val>
            <c:numRef>
              <c:f>Charts!$B$4:$B$10</c:f>
              <c:numCache/>
            </c:numRef>
          </c:val>
          <c:smooth val="1"/>
        </c:ser>
        <c:axId val="413718121"/>
        <c:axId val="1813249988"/>
      </c:lineChart>
      <c:catAx>
        <c:axId val="413718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249988"/>
      </c:catAx>
      <c:valAx>
        <c:axId val="1813249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71812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representative USD/MT voyage freight observations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USD/MT midpoint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Charts!$A$23:$A$26</c:f>
            </c:strRef>
          </c:cat>
          <c:val>
            <c:numRef>
              <c:f>Charts!$B$23:$B$26</c:f>
              <c:numCache/>
            </c:numRef>
          </c:val>
          <c:smooth val="1"/>
        </c:ser>
        <c:axId val="1929854716"/>
        <c:axId val="284839018"/>
      </c:lineChart>
      <c:catAx>
        <c:axId val="1929854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839018"/>
      </c:catAx>
      <c:valAx>
        <c:axId val="284839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85471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Public observations collected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Observation 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Charts!$A$41:$A$52</c:f>
            </c:strRef>
          </c:cat>
          <c:val>
            <c:numRef>
              <c:f>Charts!$B$41:$B$52</c:f>
              <c:numCache/>
            </c:numRef>
          </c:val>
        </c:ser>
        <c:axId val="1297973101"/>
        <c:axId val="776835181"/>
      </c:barChart>
      <c:catAx>
        <c:axId val="1297973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835181"/>
      </c:catAx>
      <c:valAx>
        <c:axId val="776835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973101"/>
      </c:valAx>
    </c:plotArea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7229475" cy="3200400"/>
    <xdr:graphicFrame>
      <xdr:nvGraphicFramePr>
        <xdr:cNvPr id="11369212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0</xdr:rowOff>
    </xdr:from>
    <xdr:ext cx="7229475" cy="3200400"/>
    <xdr:graphicFrame>
      <xdr:nvGraphicFramePr>
        <xdr:cNvPr id="24982382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38</xdr:row>
      <xdr:rowOff>0</xdr:rowOff>
    </xdr:from>
    <xdr:ext cx="7229475" cy="3400425"/>
    <xdr:graphicFrame>
      <xdr:nvGraphicFramePr>
        <xdr:cNvPr id="32170498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M13" displayName="MonthlyRatesTable" name="MonthlyRatesTable" id="3">
  <tableColumns count="13">
    <tableColumn name="Month" id="1"/>
    <tableColumn name="Date / Period" id="2"/>
    <tableColumn name="Route" id="3"/>
    <tableColumn name="Vessel" id="4"/>
    <tableColumn name="Cargo" id="5"/>
    <tableColumn name="Rate Low" id="6"/>
    <tableColumn name="Rate High" id="7"/>
    <tableColumn name="Mid Rate" id="8"/>
    <tableColumn name="Unit" id="9"/>
    <tableColumn name="Type" id="10"/>
    <tableColumn name="Source" id="11"/>
    <tableColumn name="Source URL" id="12"/>
    <tableColumn name="Quality Note" id="13"/>
  </tableColumns>
  <tableStyleInfo name="Monthly_1Y-style" showColumnStripes="0" showFirstColumn="1" showLastColumn="1" showRowStripes="1"/>
</table>
</file>

<file path=xl/tables/table2.xml><?xml version="1.0" encoding="utf-8"?>
<table xmlns="http://schemas.openxmlformats.org/spreadsheetml/2006/main" ref="A1:N27" displayName="ObservedRatesTable" name="ObservedRatesTable" id="2">
  <tableColumns count="14">
    <tableColumn name="Date / Period" id="1"/>
    <tableColumn name="Origin" id="2"/>
    <tableColumn name="Destination" id="3"/>
    <tableColumn name="Vessel" id="4"/>
    <tableColumn name="Cargo" id="5"/>
    <tableColumn name="DWT" id="6"/>
    <tableColumn name="Rate Low" id="7"/>
    <tableColumn name="Rate High" id="8"/>
    <tableColumn name="Mid Rate" id="9"/>
    <tableColumn name="Unit" id="10"/>
    <tableColumn name="Observation Type" id="11"/>
    <tableColumn name="Source" id="12"/>
    <tableColumn name="Source URL" id="13"/>
    <tableColumn name="Source Note" id="14"/>
  </tableColumns>
  <tableStyleInfo name="Verified_Observations-style" showColumnStripes="0" showFirstColumn="1" showLastColumn="1" showRowStripes="1"/>
</table>
</file>

<file path=xl/tables/table3.xml><?xml version="1.0" encoding="utf-8"?>
<table xmlns="http://schemas.openxmlformats.org/spreadsheetml/2006/main" ref="A1:J17" displayName="USDDayTable" name="USDDayTable" id="1">
  <tableColumns count="10">
    <tableColumn name="Date / Period" id="1"/>
    <tableColumn name="Origin" id="2"/>
    <tableColumn name="Destination" id="3"/>
    <tableColumn name="Vessel" id="4"/>
    <tableColumn name="DWT" id="5"/>
    <tableColumn name="Rate Low" id="6"/>
    <tableColumn name="Rate High" id="7"/>
    <tableColumn name="Mid Rate" id="8"/>
    <tableColumn name="Type" id="9"/>
    <tableColumn name="Source URL" id="10"/>
  </tableColumns>
  <tableStyleInfo name="USD_Day-style" showColumnStripes="0" showFirstColumn="1" showLastColumn="1" showRowStripes="1"/>
</table>
</file>

<file path=xl/tables/table4.xml><?xml version="1.0" encoding="utf-8"?>
<table xmlns="http://schemas.openxmlformats.org/spreadsheetml/2006/main" ref="A1:J11" displayName="USDMTTable" name="USDMTTable" id="4">
  <tableColumns count="10">
    <tableColumn name="Date / Period" id="1"/>
    <tableColumn name="Origin" id="2"/>
    <tableColumn name="Destination" id="3"/>
    <tableColumn name="Vessel" id="4"/>
    <tableColumn name="Cargo" id="5"/>
    <tableColumn name="Rate Low" id="6"/>
    <tableColumn name="Rate High" id="7"/>
    <tableColumn name="Mid Rate" id="8"/>
    <tableColumn name="Type" id="9"/>
    <tableColumn name="Source URL" id="10"/>
  </tableColumns>
  <tableStyleInfo name="USD_M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8.0"/>
    <col customWidth="1" min="3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5"/>
      <c r="C3" s="5"/>
      <c r="D3" s="5"/>
      <c r="E3" s="5"/>
      <c r="F3" s="5"/>
      <c r="G3" s="5"/>
      <c r="H3" s="6"/>
    </row>
    <row r="4">
      <c r="A4" s="7"/>
      <c r="B4" s="8"/>
      <c r="C4" s="8"/>
      <c r="D4" s="8"/>
      <c r="E4" s="8"/>
      <c r="F4" s="8"/>
      <c r="G4" s="8"/>
      <c r="H4" s="9"/>
    </row>
    <row r="6">
      <c r="A6" s="10" t="s">
        <v>2</v>
      </c>
      <c r="B6" s="10" t="s">
        <v>3</v>
      </c>
    </row>
    <row r="7">
      <c r="A7" s="11" t="s">
        <v>4</v>
      </c>
      <c r="B7" s="11" t="s">
        <v>5</v>
      </c>
    </row>
    <row r="8">
      <c r="A8" s="11" t="s">
        <v>6</v>
      </c>
      <c r="B8" s="11" t="s">
        <v>7</v>
      </c>
    </row>
    <row r="9">
      <c r="A9" s="11" t="s">
        <v>8</v>
      </c>
      <c r="B9" s="11" t="s">
        <v>9</v>
      </c>
    </row>
    <row r="10">
      <c r="A10" s="11" t="s">
        <v>10</v>
      </c>
      <c r="B10" s="11" t="s">
        <v>11</v>
      </c>
    </row>
    <row r="11">
      <c r="A11" s="11" t="s">
        <v>12</v>
      </c>
      <c r="B11" s="11" t="s">
        <v>13</v>
      </c>
    </row>
    <row r="12">
      <c r="A12" s="11" t="s">
        <v>14</v>
      </c>
      <c r="B12" s="1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3:H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0.0"/>
    <col customWidth="1" min="3" max="3" width="36.0"/>
    <col customWidth="1" min="4" max="5" width="24.0"/>
    <col customWidth="1" min="6" max="8" width="12.0"/>
    <col customWidth="1" min="9" max="9" width="14.0"/>
    <col customWidth="1" min="10" max="10" width="22.0"/>
    <col customWidth="1" min="11" max="11" width="28.0"/>
    <col customWidth="1" min="12" max="12" width="52.0"/>
    <col customWidth="1" min="13" max="13" width="58.0"/>
    <col customWidth="1" min="14" max="26" width="8.63"/>
  </cols>
  <sheetData>
    <row r="1">
      <c r="A1" s="13" t="s">
        <v>17</v>
      </c>
      <c r="B1" s="13" t="s">
        <v>16</v>
      </c>
      <c r="C1" s="13" t="s">
        <v>22</v>
      </c>
      <c r="D1" s="13" t="s">
        <v>20</v>
      </c>
      <c r="E1" s="13" t="s">
        <v>21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32</v>
      </c>
      <c r="K1" s="13" t="s">
        <v>29</v>
      </c>
      <c r="L1" s="13" t="s">
        <v>30</v>
      </c>
      <c r="M1" s="13" t="s">
        <v>35</v>
      </c>
    </row>
    <row r="2">
      <c r="A2" s="15" t="s">
        <v>38</v>
      </c>
      <c r="B2" s="15" t="s">
        <v>40</v>
      </c>
      <c r="C2" s="15" t="s">
        <v>41</v>
      </c>
      <c r="D2" s="15" t="s">
        <v>42</v>
      </c>
      <c r="E2" s="15" t="s">
        <v>39</v>
      </c>
      <c r="F2" s="17">
        <v>15000.0</v>
      </c>
      <c r="G2" s="17">
        <v>15000.0</v>
      </c>
      <c r="H2" s="17">
        <f t="shared" ref="H2:H13" si="1">IF(OR(F2="",G2=""),"",AVERAGE(F2:G2))</f>
        <v>15000</v>
      </c>
      <c r="I2" s="15" t="s">
        <v>44</v>
      </c>
      <c r="J2" s="15" t="s">
        <v>43</v>
      </c>
      <c r="K2" s="15" t="s">
        <v>49</v>
      </c>
      <c r="L2" s="15" t="s">
        <v>45</v>
      </c>
      <c r="M2" s="15" t="s">
        <v>51</v>
      </c>
    </row>
    <row r="3">
      <c r="A3" s="15" t="s">
        <v>52</v>
      </c>
      <c r="B3" s="15" t="s">
        <v>53</v>
      </c>
      <c r="C3" s="15" t="s">
        <v>41</v>
      </c>
      <c r="D3" s="15" t="s">
        <v>42</v>
      </c>
      <c r="E3" s="15" t="s">
        <v>39</v>
      </c>
      <c r="F3" s="17">
        <v>15000.0</v>
      </c>
      <c r="G3" s="17">
        <v>16000.0</v>
      </c>
      <c r="H3" s="17">
        <f t="shared" si="1"/>
        <v>15500</v>
      </c>
      <c r="I3" s="15" t="s">
        <v>44</v>
      </c>
      <c r="J3" s="15" t="s">
        <v>54</v>
      </c>
      <c r="K3" s="15" t="s">
        <v>60</v>
      </c>
      <c r="L3" s="15" t="s">
        <v>55</v>
      </c>
      <c r="M3" s="15" t="s">
        <v>61</v>
      </c>
    </row>
    <row r="4">
      <c r="A4" s="15" t="s">
        <v>62</v>
      </c>
      <c r="B4" s="15" t="s">
        <v>63</v>
      </c>
      <c r="C4" s="15" t="s">
        <v>64</v>
      </c>
      <c r="D4" s="15" t="s">
        <v>66</v>
      </c>
      <c r="E4" s="15" t="s">
        <v>67</v>
      </c>
      <c r="F4" s="17">
        <v>27000.0</v>
      </c>
      <c r="G4" s="17">
        <v>27000.0</v>
      </c>
      <c r="H4" s="17">
        <f t="shared" si="1"/>
        <v>27000</v>
      </c>
      <c r="I4" s="15" t="s">
        <v>44</v>
      </c>
      <c r="J4" s="15" t="s">
        <v>43</v>
      </c>
      <c r="K4" s="15" t="s">
        <v>70</v>
      </c>
      <c r="L4" s="15" t="s">
        <v>71</v>
      </c>
      <c r="M4" s="15" t="s">
        <v>73</v>
      </c>
    </row>
    <row r="5">
      <c r="A5" s="15" t="s">
        <v>75</v>
      </c>
      <c r="B5" s="15" t="s">
        <v>76</v>
      </c>
      <c r="C5" s="15" t="s">
        <v>77</v>
      </c>
      <c r="D5" s="15" t="s">
        <v>42</v>
      </c>
      <c r="E5" s="15" t="s">
        <v>39</v>
      </c>
      <c r="F5" s="17">
        <v>17000.0</v>
      </c>
      <c r="G5" s="17">
        <v>19000.0</v>
      </c>
      <c r="H5" s="17">
        <f t="shared" si="1"/>
        <v>18000</v>
      </c>
      <c r="I5" s="15" t="s">
        <v>44</v>
      </c>
      <c r="J5" s="15" t="s">
        <v>54</v>
      </c>
      <c r="K5" s="15" t="s">
        <v>85</v>
      </c>
      <c r="L5" s="15" t="s">
        <v>79</v>
      </c>
      <c r="M5" s="15" t="s">
        <v>86</v>
      </c>
    </row>
    <row r="6">
      <c r="A6" s="15" t="s">
        <v>87</v>
      </c>
      <c r="B6" s="15" t="s">
        <v>89</v>
      </c>
      <c r="C6" s="15" t="s">
        <v>90</v>
      </c>
      <c r="D6" s="15" t="s">
        <v>92</v>
      </c>
      <c r="E6" s="15" t="s">
        <v>39</v>
      </c>
      <c r="F6" s="17">
        <v>26000.0</v>
      </c>
      <c r="G6" s="17">
        <v>26000.0</v>
      </c>
      <c r="H6" s="17">
        <f t="shared" si="1"/>
        <v>26000</v>
      </c>
      <c r="I6" s="15" t="s">
        <v>44</v>
      </c>
      <c r="J6" s="15" t="s">
        <v>43</v>
      </c>
      <c r="K6" s="15" t="s">
        <v>98</v>
      </c>
      <c r="L6" s="15" t="s">
        <v>99</v>
      </c>
      <c r="M6" s="15" t="s">
        <v>101</v>
      </c>
    </row>
    <row r="7">
      <c r="A7" s="15" t="s">
        <v>102</v>
      </c>
      <c r="B7" s="15" t="s">
        <v>103</v>
      </c>
      <c r="C7" s="15" t="s">
        <v>105</v>
      </c>
      <c r="D7" s="15" t="s">
        <v>106</v>
      </c>
      <c r="E7" s="15" t="s">
        <v>107</v>
      </c>
      <c r="F7" s="17">
        <v>15000.0</v>
      </c>
      <c r="G7" s="17">
        <v>15000.0</v>
      </c>
      <c r="H7" s="17">
        <f t="shared" si="1"/>
        <v>15000</v>
      </c>
      <c r="I7" s="15" t="s">
        <v>44</v>
      </c>
      <c r="J7" s="15" t="s">
        <v>109</v>
      </c>
      <c r="K7" s="15" t="s">
        <v>110</v>
      </c>
      <c r="L7" s="15" t="s">
        <v>111</v>
      </c>
      <c r="M7" s="15" t="s">
        <v>112</v>
      </c>
    </row>
    <row r="8">
      <c r="A8" s="15" t="s">
        <v>115</v>
      </c>
      <c r="B8" s="15" t="s">
        <v>116</v>
      </c>
      <c r="C8" s="15" t="s">
        <v>117</v>
      </c>
      <c r="D8" s="15" t="s">
        <v>119</v>
      </c>
      <c r="E8" s="15" t="s">
        <v>120</v>
      </c>
      <c r="F8" s="17">
        <v>20.0</v>
      </c>
      <c r="G8" s="17">
        <v>20.0</v>
      </c>
      <c r="H8" s="17">
        <f t="shared" si="1"/>
        <v>20</v>
      </c>
      <c r="I8" s="15" t="s">
        <v>126</v>
      </c>
      <c r="J8" s="15" t="s">
        <v>43</v>
      </c>
      <c r="K8" s="15" t="s">
        <v>128</v>
      </c>
      <c r="L8" s="15" t="s">
        <v>91</v>
      </c>
      <c r="M8" s="15" t="s">
        <v>129</v>
      </c>
    </row>
    <row r="9">
      <c r="A9" s="15" t="s">
        <v>130</v>
      </c>
      <c r="B9" s="15" t="s">
        <v>131</v>
      </c>
      <c r="C9" s="15" t="s">
        <v>132</v>
      </c>
      <c r="D9" s="15" t="s">
        <v>68</v>
      </c>
      <c r="E9" s="15" t="s">
        <v>39</v>
      </c>
      <c r="F9" s="17">
        <v>42.95</v>
      </c>
      <c r="G9" s="17">
        <v>42.95</v>
      </c>
      <c r="H9" s="17">
        <f t="shared" si="1"/>
        <v>42.95</v>
      </c>
      <c r="I9" s="15" t="s">
        <v>126</v>
      </c>
      <c r="J9" s="15" t="s">
        <v>43</v>
      </c>
      <c r="K9" s="15" t="s">
        <v>139</v>
      </c>
      <c r="L9" s="15" t="s">
        <v>141</v>
      </c>
      <c r="M9" s="15" t="s">
        <v>142</v>
      </c>
    </row>
    <row r="10">
      <c r="A10" s="15" t="s">
        <v>143</v>
      </c>
      <c r="B10" s="15" t="s">
        <v>144</v>
      </c>
      <c r="C10" s="15" t="s">
        <v>145</v>
      </c>
      <c r="D10" s="15" t="s">
        <v>146</v>
      </c>
      <c r="E10" s="15" t="s">
        <v>39</v>
      </c>
      <c r="F10" s="17">
        <v>45.0</v>
      </c>
      <c r="G10" s="17">
        <v>45.0</v>
      </c>
      <c r="H10" s="17">
        <f t="shared" si="1"/>
        <v>45</v>
      </c>
      <c r="I10" s="15" t="s">
        <v>126</v>
      </c>
      <c r="J10" s="15" t="s">
        <v>152</v>
      </c>
      <c r="K10" s="15" t="s">
        <v>154</v>
      </c>
      <c r="L10" s="15" t="s">
        <v>155</v>
      </c>
      <c r="M10" s="15" t="s">
        <v>157</v>
      </c>
    </row>
    <row r="11">
      <c r="A11" s="15" t="s">
        <v>158</v>
      </c>
      <c r="B11" s="15" t="s">
        <v>160</v>
      </c>
      <c r="C11" s="15" t="s">
        <v>162</v>
      </c>
      <c r="D11" s="15" t="s">
        <v>164</v>
      </c>
      <c r="E11" s="15" t="s">
        <v>67</v>
      </c>
      <c r="F11" s="17">
        <v>25750.0</v>
      </c>
      <c r="G11" s="17">
        <v>25750.0</v>
      </c>
      <c r="H11" s="17">
        <f t="shared" si="1"/>
        <v>25750</v>
      </c>
      <c r="I11" s="15" t="s">
        <v>44</v>
      </c>
      <c r="J11" s="15" t="s">
        <v>43</v>
      </c>
      <c r="K11" s="15" t="s">
        <v>166</v>
      </c>
      <c r="L11" s="15" t="s">
        <v>168</v>
      </c>
      <c r="M11" s="15" t="s">
        <v>170</v>
      </c>
    </row>
    <row r="12">
      <c r="A12" s="15" t="s">
        <v>171</v>
      </c>
      <c r="B12" s="15" t="s">
        <v>172</v>
      </c>
      <c r="C12" s="15" t="s">
        <v>174</v>
      </c>
      <c r="D12" s="15" t="s">
        <v>164</v>
      </c>
      <c r="E12" s="15" t="s">
        <v>67</v>
      </c>
      <c r="F12" s="17">
        <v>19000.0</v>
      </c>
      <c r="G12" s="17">
        <v>19000.0</v>
      </c>
      <c r="H12" s="17">
        <f t="shared" si="1"/>
        <v>19000</v>
      </c>
      <c r="I12" s="15" t="s">
        <v>44</v>
      </c>
      <c r="J12" s="15" t="s">
        <v>43</v>
      </c>
      <c r="K12" s="15" t="s">
        <v>179</v>
      </c>
      <c r="L12" s="15" t="s">
        <v>181</v>
      </c>
      <c r="M12" s="15" t="s">
        <v>170</v>
      </c>
    </row>
    <row r="13">
      <c r="A13" s="15" t="s">
        <v>182</v>
      </c>
      <c r="B13" s="15" t="s">
        <v>183</v>
      </c>
      <c r="C13" s="15" t="s">
        <v>117</v>
      </c>
      <c r="D13" s="15" t="s">
        <v>83</v>
      </c>
      <c r="E13" s="15" t="s">
        <v>67</v>
      </c>
      <c r="F13" s="17">
        <v>20.8</v>
      </c>
      <c r="G13" s="17">
        <v>22.0</v>
      </c>
      <c r="H13" s="17">
        <f t="shared" si="1"/>
        <v>21.4</v>
      </c>
      <c r="I13" s="15" t="s">
        <v>126</v>
      </c>
      <c r="J13" s="15" t="s">
        <v>184</v>
      </c>
      <c r="K13" s="15" t="s">
        <v>185</v>
      </c>
      <c r="L13" s="15" t="s">
        <v>177</v>
      </c>
      <c r="M13" s="15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13">
    <cfRule type="expression" dxfId="5" priority="1">
      <formula>ISNUMBER(SEARCH("re-audit",M2))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0.0"/>
    <col customWidth="1" min="3" max="3" width="28.0"/>
    <col customWidth="1" min="4" max="5" width="24.0"/>
    <col customWidth="1" min="6" max="9" width="12.0"/>
    <col customWidth="1" min="10" max="10" width="18.0"/>
    <col customWidth="1" min="11" max="11" width="20.0"/>
    <col customWidth="1" min="12" max="12" width="28.0"/>
    <col customWidth="1" min="13" max="13" width="58.0"/>
    <col customWidth="1" min="14" max="14" width="60.0"/>
    <col customWidth="1" min="15" max="26" width="8.63"/>
  </cols>
  <sheetData>
    <row r="1">
      <c r="A1" s="12" t="s">
        <v>16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23</v>
      </c>
      <c r="G1" s="12" t="s">
        <v>24</v>
      </c>
      <c r="H1" s="12" t="s">
        <v>25</v>
      </c>
      <c r="I1" s="12" t="s">
        <v>26</v>
      </c>
      <c r="J1" s="12" t="s">
        <v>27</v>
      </c>
      <c r="K1" s="12" t="s">
        <v>28</v>
      </c>
      <c r="L1" s="12" t="s">
        <v>29</v>
      </c>
      <c r="M1" s="12" t="s">
        <v>30</v>
      </c>
      <c r="N1" s="12" t="s">
        <v>31</v>
      </c>
    </row>
    <row r="2">
      <c r="A2" s="15" t="s">
        <v>33</v>
      </c>
      <c r="B2" s="15" t="s">
        <v>34</v>
      </c>
      <c r="C2" s="15" t="s">
        <v>36</v>
      </c>
      <c r="D2" s="15" t="s">
        <v>37</v>
      </c>
      <c r="E2" s="15" t="s">
        <v>39</v>
      </c>
      <c r="F2" s="16">
        <v>81715.0</v>
      </c>
      <c r="G2" s="17">
        <v>15000.0</v>
      </c>
      <c r="H2" s="17">
        <v>15000.0</v>
      </c>
      <c r="I2" s="17">
        <f t="shared" ref="I2:I27" si="1">IF(OR(G2="",H2=""),"",AVERAGE(G2:H2))</f>
        <v>15000</v>
      </c>
      <c r="J2" s="15" t="s">
        <v>44</v>
      </c>
      <c r="K2" s="15" t="s">
        <v>43</v>
      </c>
      <c r="L2" s="15" t="s">
        <v>46</v>
      </c>
      <c r="M2" s="15" t="s">
        <v>45</v>
      </c>
      <c r="N2" s="15" t="s">
        <v>50</v>
      </c>
    </row>
    <row r="3">
      <c r="A3" s="15" t="s">
        <v>47</v>
      </c>
      <c r="B3" s="15" t="s">
        <v>48</v>
      </c>
      <c r="C3" s="15" t="s">
        <v>36</v>
      </c>
      <c r="D3" s="15" t="s">
        <v>37</v>
      </c>
      <c r="E3" s="15" t="s">
        <v>39</v>
      </c>
      <c r="F3" s="16"/>
      <c r="G3" s="17">
        <v>15000.0</v>
      </c>
      <c r="H3" s="17">
        <v>16000.0</v>
      </c>
      <c r="I3" s="17">
        <f t="shared" si="1"/>
        <v>15500</v>
      </c>
      <c r="J3" s="15" t="s">
        <v>44</v>
      </c>
      <c r="K3" s="15" t="s">
        <v>54</v>
      </c>
      <c r="L3" s="15" t="s">
        <v>58</v>
      </c>
      <c r="M3" s="15" t="s">
        <v>55</v>
      </c>
      <c r="N3" s="15" t="s">
        <v>59</v>
      </c>
    </row>
    <row r="4">
      <c r="A4" s="15" t="s">
        <v>47</v>
      </c>
      <c r="B4" s="15" t="s">
        <v>56</v>
      </c>
      <c r="C4" s="15" t="s">
        <v>57</v>
      </c>
      <c r="D4" s="15" t="s">
        <v>37</v>
      </c>
      <c r="E4" s="15" t="s">
        <v>39</v>
      </c>
      <c r="F4" s="16"/>
      <c r="G4" s="17">
        <v>26000.0</v>
      </c>
      <c r="H4" s="17">
        <v>28000.0</v>
      </c>
      <c r="I4" s="17">
        <f t="shared" si="1"/>
        <v>27000</v>
      </c>
      <c r="J4" s="15" t="s">
        <v>44</v>
      </c>
      <c r="K4" s="15" t="s">
        <v>54</v>
      </c>
      <c r="L4" s="15" t="s">
        <v>58</v>
      </c>
      <c r="M4" s="15" t="s">
        <v>55</v>
      </c>
      <c r="N4" s="15" t="s">
        <v>69</v>
      </c>
    </row>
    <row r="5">
      <c r="A5" s="15" t="s">
        <v>65</v>
      </c>
      <c r="B5" s="15" t="s">
        <v>56</v>
      </c>
      <c r="C5" s="15" t="s">
        <v>36</v>
      </c>
      <c r="D5" s="15" t="s">
        <v>68</v>
      </c>
      <c r="E5" s="15" t="s">
        <v>67</v>
      </c>
      <c r="F5" s="16">
        <v>82000.0</v>
      </c>
      <c r="G5" s="17">
        <v>27000.0</v>
      </c>
      <c r="H5" s="17">
        <v>27000.0</v>
      </c>
      <c r="I5" s="17">
        <f t="shared" si="1"/>
        <v>27000</v>
      </c>
      <c r="J5" s="15" t="s">
        <v>44</v>
      </c>
      <c r="K5" s="15" t="s">
        <v>43</v>
      </c>
      <c r="L5" s="15" t="s">
        <v>70</v>
      </c>
      <c r="M5" s="15" t="s">
        <v>71</v>
      </c>
      <c r="N5" s="15" t="s">
        <v>78</v>
      </c>
    </row>
    <row r="6">
      <c r="A6" s="15" t="s">
        <v>72</v>
      </c>
      <c r="B6" s="15" t="s">
        <v>74</v>
      </c>
      <c r="C6" s="15" t="s">
        <v>36</v>
      </c>
      <c r="D6" s="15" t="s">
        <v>37</v>
      </c>
      <c r="E6" s="15" t="s">
        <v>39</v>
      </c>
      <c r="F6" s="16"/>
      <c r="G6" s="17">
        <v>17000.0</v>
      </c>
      <c r="H6" s="17">
        <v>19000.0</v>
      </c>
      <c r="I6" s="17">
        <f t="shared" si="1"/>
        <v>18000</v>
      </c>
      <c r="J6" s="15" t="s">
        <v>44</v>
      </c>
      <c r="K6" s="15" t="s">
        <v>54</v>
      </c>
      <c r="L6" s="15" t="s">
        <v>88</v>
      </c>
      <c r="M6" s="15" t="s">
        <v>79</v>
      </c>
      <c r="N6" s="15" t="s">
        <v>93</v>
      </c>
    </row>
    <row r="7">
      <c r="A7" s="15" t="s">
        <v>72</v>
      </c>
      <c r="B7" s="15" t="s">
        <v>56</v>
      </c>
      <c r="C7" s="15" t="s">
        <v>36</v>
      </c>
      <c r="D7" s="15" t="s">
        <v>37</v>
      </c>
      <c r="E7" s="15" t="s">
        <v>39</v>
      </c>
      <c r="F7" s="16"/>
      <c r="G7" s="17">
        <v>20000.0</v>
      </c>
      <c r="H7" s="17">
        <v>27000.0</v>
      </c>
      <c r="I7" s="17">
        <f t="shared" si="1"/>
        <v>23500</v>
      </c>
      <c r="J7" s="15" t="s">
        <v>44</v>
      </c>
      <c r="K7" s="15" t="s">
        <v>54</v>
      </c>
      <c r="L7" s="15" t="s">
        <v>88</v>
      </c>
      <c r="M7" s="15" t="s">
        <v>79</v>
      </c>
      <c r="N7" s="15" t="s">
        <v>108</v>
      </c>
    </row>
    <row r="8">
      <c r="A8" s="15" t="s">
        <v>96</v>
      </c>
      <c r="B8" s="15" t="s">
        <v>97</v>
      </c>
      <c r="C8" s="15" t="s">
        <v>36</v>
      </c>
      <c r="D8" s="15" t="s">
        <v>68</v>
      </c>
      <c r="E8" s="15" t="s">
        <v>39</v>
      </c>
      <c r="F8" s="16">
        <v>83416.0</v>
      </c>
      <c r="G8" s="17">
        <v>26000.0</v>
      </c>
      <c r="H8" s="17">
        <v>26000.0</v>
      </c>
      <c r="I8" s="17">
        <f t="shared" si="1"/>
        <v>26000</v>
      </c>
      <c r="J8" s="15" t="s">
        <v>44</v>
      </c>
      <c r="K8" s="15" t="s">
        <v>43</v>
      </c>
      <c r="L8" s="15" t="s">
        <v>122</v>
      </c>
      <c r="M8" s="15" t="s">
        <v>99</v>
      </c>
      <c r="N8" s="15" t="s">
        <v>125</v>
      </c>
    </row>
    <row r="9">
      <c r="A9" s="15" t="s">
        <v>114</v>
      </c>
      <c r="B9" s="15" t="s">
        <v>105</v>
      </c>
      <c r="C9" s="15" t="s">
        <v>118</v>
      </c>
      <c r="D9" s="15" t="s">
        <v>121</v>
      </c>
      <c r="E9" s="15" t="s">
        <v>107</v>
      </c>
      <c r="F9" s="16"/>
      <c r="G9" s="17">
        <v>15000.0</v>
      </c>
      <c r="H9" s="17">
        <v>15000.0</v>
      </c>
      <c r="I9" s="17">
        <f t="shared" si="1"/>
        <v>15000</v>
      </c>
      <c r="J9" s="15" t="s">
        <v>44</v>
      </c>
      <c r="K9" s="15" t="s">
        <v>109</v>
      </c>
      <c r="L9" s="15" t="s">
        <v>136</v>
      </c>
      <c r="M9" s="15" t="s">
        <v>111</v>
      </c>
      <c r="N9" s="15" t="s">
        <v>138</v>
      </c>
    </row>
    <row r="10">
      <c r="A10" s="15" t="s">
        <v>133</v>
      </c>
      <c r="B10" s="15" t="s">
        <v>134</v>
      </c>
      <c r="C10" s="15" t="s">
        <v>118</v>
      </c>
      <c r="D10" s="15" t="s">
        <v>140</v>
      </c>
      <c r="E10" s="15" t="s">
        <v>107</v>
      </c>
      <c r="F10" s="16">
        <v>82000.0</v>
      </c>
      <c r="G10" s="17">
        <v>15897.0</v>
      </c>
      <c r="H10" s="17">
        <v>15897.0</v>
      </c>
      <c r="I10" s="17">
        <f t="shared" si="1"/>
        <v>15897</v>
      </c>
      <c r="J10" s="15" t="s">
        <v>44</v>
      </c>
      <c r="K10" s="15" t="s">
        <v>150</v>
      </c>
      <c r="L10" s="15" t="s">
        <v>163</v>
      </c>
      <c r="M10" s="15" t="s">
        <v>151</v>
      </c>
      <c r="N10" s="15" t="s">
        <v>165</v>
      </c>
    </row>
    <row r="11">
      <c r="A11" s="15" t="s">
        <v>80</v>
      </c>
      <c r="B11" s="15" t="s">
        <v>81</v>
      </c>
      <c r="C11" s="15" t="s">
        <v>82</v>
      </c>
      <c r="D11" s="15" t="s">
        <v>83</v>
      </c>
      <c r="E11" s="15" t="s">
        <v>84</v>
      </c>
      <c r="F11" s="16"/>
      <c r="G11" s="17">
        <v>20.0</v>
      </c>
      <c r="H11" s="17">
        <v>20.0</v>
      </c>
      <c r="I11" s="17">
        <f t="shared" si="1"/>
        <v>20</v>
      </c>
      <c r="J11" s="15" t="s">
        <v>126</v>
      </c>
      <c r="K11" s="15" t="s">
        <v>43</v>
      </c>
      <c r="L11" s="15" t="s">
        <v>175</v>
      </c>
      <c r="M11" s="15" t="s">
        <v>91</v>
      </c>
      <c r="N11" s="15" t="s">
        <v>178</v>
      </c>
    </row>
    <row r="12">
      <c r="A12" s="15" t="s">
        <v>80</v>
      </c>
      <c r="B12" s="15" t="s">
        <v>94</v>
      </c>
      <c r="C12" s="15" t="s">
        <v>95</v>
      </c>
      <c r="D12" s="15" t="s">
        <v>83</v>
      </c>
      <c r="E12" s="15" t="s">
        <v>67</v>
      </c>
      <c r="F12" s="16"/>
      <c r="G12" s="17">
        <v>18.0</v>
      </c>
      <c r="H12" s="17">
        <v>18.0</v>
      </c>
      <c r="I12" s="17">
        <f t="shared" si="1"/>
        <v>18</v>
      </c>
      <c r="J12" s="15" t="s">
        <v>126</v>
      </c>
      <c r="K12" s="15" t="s">
        <v>100</v>
      </c>
      <c r="L12" s="15" t="s">
        <v>175</v>
      </c>
      <c r="M12" s="15" t="s">
        <v>91</v>
      </c>
      <c r="N12" s="15" t="s">
        <v>186</v>
      </c>
    </row>
    <row r="13">
      <c r="A13" s="15" t="s">
        <v>80</v>
      </c>
      <c r="B13" s="15" t="s">
        <v>104</v>
      </c>
      <c r="C13" s="15" t="s">
        <v>95</v>
      </c>
      <c r="D13" s="15" t="s">
        <v>83</v>
      </c>
      <c r="E13" s="15" t="s">
        <v>67</v>
      </c>
      <c r="F13" s="16"/>
      <c r="G13" s="17">
        <v>15.05</v>
      </c>
      <c r="H13" s="17">
        <v>15.05</v>
      </c>
      <c r="I13" s="17">
        <f t="shared" si="1"/>
        <v>15.05</v>
      </c>
      <c r="J13" s="15" t="s">
        <v>126</v>
      </c>
      <c r="K13" s="15" t="s">
        <v>100</v>
      </c>
      <c r="L13" s="15" t="s">
        <v>175</v>
      </c>
      <c r="M13" s="15" t="s">
        <v>91</v>
      </c>
      <c r="N13" s="15" t="s">
        <v>190</v>
      </c>
    </row>
    <row r="14">
      <c r="A14" s="15" t="s">
        <v>113</v>
      </c>
      <c r="B14" s="15" t="s">
        <v>81</v>
      </c>
      <c r="C14" s="15" t="s">
        <v>82</v>
      </c>
      <c r="D14" s="15" t="s">
        <v>83</v>
      </c>
      <c r="E14" s="15" t="s">
        <v>84</v>
      </c>
      <c r="F14" s="16"/>
      <c r="G14" s="17">
        <v>23.4</v>
      </c>
      <c r="H14" s="17">
        <v>23.4</v>
      </c>
      <c r="I14" s="17">
        <f t="shared" si="1"/>
        <v>23.4</v>
      </c>
      <c r="J14" s="15" t="s">
        <v>126</v>
      </c>
      <c r="K14" s="15" t="s">
        <v>123</v>
      </c>
      <c r="L14" s="15" t="s">
        <v>192</v>
      </c>
      <c r="M14" s="15" t="s">
        <v>124</v>
      </c>
      <c r="N14" s="15" t="s">
        <v>193</v>
      </c>
    </row>
    <row r="15">
      <c r="A15" s="15" t="s">
        <v>113</v>
      </c>
      <c r="B15" s="15" t="s">
        <v>127</v>
      </c>
      <c r="C15" s="15" t="s">
        <v>95</v>
      </c>
      <c r="D15" s="15" t="s">
        <v>83</v>
      </c>
      <c r="E15" s="15" t="s">
        <v>84</v>
      </c>
      <c r="F15" s="16"/>
      <c r="G15" s="17">
        <v>21.2</v>
      </c>
      <c r="H15" s="17">
        <v>21.2</v>
      </c>
      <c r="I15" s="17">
        <f t="shared" si="1"/>
        <v>21.2</v>
      </c>
      <c r="J15" s="15" t="s">
        <v>126</v>
      </c>
      <c r="K15" s="15" t="s">
        <v>123</v>
      </c>
      <c r="L15" s="15" t="s">
        <v>192</v>
      </c>
      <c r="M15" s="15" t="s">
        <v>124</v>
      </c>
      <c r="N15" s="15" t="s">
        <v>196</v>
      </c>
    </row>
    <row r="16">
      <c r="A16" s="15" t="s">
        <v>113</v>
      </c>
      <c r="B16" s="15" t="s">
        <v>135</v>
      </c>
      <c r="C16" s="15" t="s">
        <v>82</v>
      </c>
      <c r="D16" s="15" t="s">
        <v>137</v>
      </c>
      <c r="E16" s="15" t="s">
        <v>67</v>
      </c>
      <c r="F16" s="16"/>
      <c r="G16" s="17">
        <v>14.85</v>
      </c>
      <c r="H16" s="17">
        <v>14.85</v>
      </c>
      <c r="I16" s="17">
        <f t="shared" si="1"/>
        <v>14.85</v>
      </c>
      <c r="J16" s="15" t="s">
        <v>126</v>
      </c>
      <c r="K16" s="15" t="s">
        <v>123</v>
      </c>
      <c r="L16" s="15" t="s">
        <v>192</v>
      </c>
      <c r="M16" s="15" t="s">
        <v>124</v>
      </c>
      <c r="N16" s="15" t="s">
        <v>198</v>
      </c>
    </row>
    <row r="17">
      <c r="A17" s="15" t="s">
        <v>147</v>
      </c>
      <c r="B17" s="15" t="s">
        <v>148</v>
      </c>
      <c r="C17" s="15" t="s">
        <v>149</v>
      </c>
      <c r="D17" s="15" t="s">
        <v>68</v>
      </c>
      <c r="E17" s="15" t="s">
        <v>39</v>
      </c>
      <c r="F17" s="16"/>
      <c r="G17" s="17">
        <v>42.95</v>
      </c>
      <c r="H17" s="17">
        <v>42.95</v>
      </c>
      <c r="I17" s="17">
        <f t="shared" si="1"/>
        <v>42.95</v>
      </c>
      <c r="J17" s="15" t="s">
        <v>126</v>
      </c>
      <c r="K17" s="15" t="s">
        <v>43</v>
      </c>
      <c r="L17" s="15" t="s">
        <v>211</v>
      </c>
      <c r="M17" s="15" t="s">
        <v>141</v>
      </c>
      <c r="N17" s="15" t="s">
        <v>218</v>
      </c>
    </row>
    <row r="18">
      <c r="A18" s="15" t="s">
        <v>153</v>
      </c>
      <c r="B18" s="15" t="s">
        <v>156</v>
      </c>
      <c r="C18" s="15" t="s">
        <v>36</v>
      </c>
      <c r="D18" s="15" t="s">
        <v>68</v>
      </c>
      <c r="E18" s="15" t="s">
        <v>67</v>
      </c>
      <c r="F18" s="16">
        <v>81000.0</v>
      </c>
      <c r="G18" s="17">
        <v>25000.0</v>
      </c>
      <c r="H18" s="17">
        <v>25000.0</v>
      </c>
      <c r="I18" s="17">
        <f t="shared" si="1"/>
        <v>25000</v>
      </c>
      <c r="J18" s="15" t="s">
        <v>241</v>
      </c>
      <c r="K18" s="15" t="s">
        <v>43</v>
      </c>
      <c r="L18" s="15" t="s">
        <v>243</v>
      </c>
      <c r="M18" s="15" t="s">
        <v>169</v>
      </c>
      <c r="N18" s="15" t="s">
        <v>244</v>
      </c>
    </row>
    <row r="19">
      <c r="A19" s="15" t="s">
        <v>153</v>
      </c>
      <c r="B19" s="15" t="s">
        <v>173</v>
      </c>
      <c r="C19" s="15" t="s">
        <v>36</v>
      </c>
      <c r="D19" s="15" t="s">
        <v>68</v>
      </c>
      <c r="E19" s="15" t="s">
        <v>39</v>
      </c>
      <c r="F19" s="16">
        <v>82000.0</v>
      </c>
      <c r="G19" s="17">
        <v>22500.0</v>
      </c>
      <c r="H19" s="17">
        <v>22500.0</v>
      </c>
      <c r="I19" s="17">
        <f t="shared" si="1"/>
        <v>22500</v>
      </c>
      <c r="J19" s="15" t="s">
        <v>44</v>
      </c>
      <c r="K19" s="15" t="s">
        <v>43</v>
      </c>
      <c r="L19" s="15" t="s">
        <v>243</v>
      </c>
      <c r="M19" s="15" t="s">
        <v>169</v>
      </c>
      <c r="N19" s="15" t="s">
        <v>245</v>
      </c>
    </row>
    <row r="20">
      <c r="A20" s="15" t="s">
        <v>153</v>
      </c>
      <c r="B20" s="15" t="s">
        <v>48</v>
      </c>
      <c r="C20" s="15" t="s">
        <v>36</v>
      </c>
      <c r="D20" s="15" t="s">
        <v>68</v>
      </c>
      <c r="E20" s="15" t="s">
        <v>39</v>
      </c>
      <c r="F20" s="16">
        <v>82000.0</v>
      </c>
      <c r="G20" s="17">
        <v>25000.0</v>
      </c>
      <c r="H20" s="17">
        <v>25000.0</v>
      </c>
      <c r="I20" s="17">
        <f t="shared" si="1"/>
        <v>25000</v>
      </c>
      <c r="J20" s="15" t="s">
        <v>44</v>
      </c>
      <c r="K20" s="15" t="s">
        <v>43</v>
      </c>
      <c r="L20" s="15" t="s">
        <v>243</v>
      </c>
      <c r="M20" s="15" t="s">
        <v>169</v>
      </c>
      <c r="N20" s="15" t="s">
        <v>246</v>
      </c>
    </row>
    <row r="21" ht="15.75" customHeight="1">
      <c r="A21" s="15" t="s">
        <v>188</v>
      </c>
      <c r="B21" s="15" t="s">
        <v>189</v>
      </c>
      <c r="C21" s="15" t="s">
        <v>36</v>
      </c>
      <c r="D21" s="15" t="s">
        <v>83</v>
      </c>
      <c r="E21" s="15" t="s">
        <v>67</v>
      </c>
      <c r="F21" s="16">
        <v>75000.0</v>
      </c>
      <c r="G21" s="17">
        <v>20000.0</v>
      </c>
      <c r="H21" s="17">
        <v>20000.0</v>
      </c>
      <c r="I21" s="17">
        <f t="shared" si="1"/>
        <v>20000</v>
      </c>
      <c r="J21" s="15" t="s">
        <v>44</v>
      </c>
      <c r="K21" s="15" t="s">
        <v>43</v>
      </c>
      <c r="L21" s="15" t="s">
        <v>247</v>
      </c>
      <c r="M21" s="15" t="s">
        <v>191</v>
      </c>
      <c r="N21" s="15" t="s">
        <v>248</v>
      </c>
    </row>
    <row r="22" ht="15.75" customHeight="1">
      <c r="A22" s="15" t="s">
        <v>188</v>
      </c>
      <c r="B22" s="15" t="s">
        <v>173</v>
      </c>
      <c r="C22" s="15" t="s">
        <v>36</v>
      </c>
      <c r="D22" s="15" t="s">
        <v>68</v>
      </c>
      <c r="E22" s="15" t="s">
        <v>39</v>
      </c>
      <c r="F22" s="16">
        <v>82000.0</v>
      </c>
      <c r="G22" s="17">
        <v>25000.0</v>
      </c>
      <c r="H22" s="17">
        <v>25000.0</v>
      </c>
      <c r="I22" s="17">
        <f t="shared" si="1"/>
        <v>25000</v>
      </c>
      <c r="J22" s="15" t="s">
        <v>44</v>
      </c>
      <c r="K22" s="15" t="s">
        <v>43</v>
      </c>
      <c r="L22" s="15" t="s">
        <v>247</v>
      </c>
      <c r="M22" s="15" t="s">
        <v>191</v>
      </c>
      <c r="N22" s="15" t="s">
        <v>249</v>
      </c>
    </row>
    <row r="23" ht="15.75" customHeight="1">
      <c r="A23" s="15" t="s">
        <v>159</v>
      </c>
      <c r="B23" s="15" t="s">
        <v>161</v>
      </c>
      <c r="C23" s="15" t="s">
        <v>149</v>
      </c>
      <c r="D23" s="15" t="s">
        <v>121</v>
      </c>
      <c r="E23" s="15" t="s">
        <v>39</v>
      </c>
      <c r="F23" s="16"/>
      <c r="G23" s="17">
        <v>45.0</v>
      </c>
      <c r="H23" s="17">
        <v>45.0</v>
      </c>
      <c r="I23" s="17">
        <f t="shared" si="1"/>
        <v>45</v>
      </c>
      <c r="J23" s="15" t="s">
        <v>126</v>
      </c>
      <c r="K23" s="15" t="s">
        <v>152</v>
      </c>
      <c r="L23" s="15" t="s">
        <v>250</v>
      </c>
      <c r="M23" s="15" t="s">
        <v>155</v>
      </c>
      <c r="N23" s="15" t="s">
        <v>251</v>
      </c>
    </row>
    <row r="24" ht="15.75" customHeight="1">
      <c r="A24" s="15" t="s">
        <v>194</v>
      </c>
      <c r="B24" s="15" t="s">
        <v>195</v>
      </c>
      <c r="C24" s="15" t="s">
        <v>36</v>
      </c>
      <c r="D24" s="15" t="s">
        <v>68</v>
      </c>
      <c r="E24" s="15" t="s">
        <v>67</v>
      </c>
      <c r="F24" s="16">
        <v>81824.0</v>
      </c>
      <c r="G24" s="17">
        <v>25750.0</v>
      </c>
      <c r="H24" s="17">
        <v>25750.0</v>
      </c>
      <c r="I24" s="17">
        <f t="shared" si="1"/>
        <v>25750</v>
      </c>
      <c r="J24" s="15" t="s">
        <v>44</v>
      </c>
      <c r="K24" s="15" t="s">
        <v>43</v>
      </c>
      <c r="L24" s="15" t="s">
        <v>252</v>
      </c>
      <c r="M24" s="15" t="s">
        <v>168</v>
      </c>
      <c r="N24" s="15" t="s">
        <v>251</v>
      </c>
    </row>
    <row r="25" ht="15.75" customHeight="1">
      <c r="A25" s="15" t="s">
        <v>197</v>
      </c>
      <c r="B25" s="15" t="s">
        <v>189</v>
      </c>
      <c r="C25" s="15" t="s">
        <v>36</v>
      </c>
      <c r="D25" s="15" t="s">
        <v>68</v>
      </c>
      <c r="E25" s="15" t="s">
        <v>67</v>
      </c>
      <c r="F25" s="16">
        <v>81601.0</v>
      </c>
      <c r="G25" s="17">
        <v>19000.0</v>
      </c>
      <c r="H25" s="17">
        <v>19000.0</v>
      </c>
      <c r="I25" s="17">
        <f t="shared" si="1"/>
        <v>19000</v>
      </c>
      <c r="J25" s="15" t="s">
        <v>44</v>
      </c>
      <c r="K25" s="15" t="s">
        <v>43</v>
      </c>
      <c r="L25" s="15" t="s">
        <v>253</v>
      </c>
      <c r="M25" s="15" t="s">
        <v>181</v>
      </c>
      <c r="N25" s="15" t="s">
        <v>251</v>
      </c>
    </row>
    <row r="26" ht="15.75" customHeight="1">
      <c r="A26" s="15" t="s">
        <v>167</v>
      </c>
      <c r="B26" s="15" t="s">
        <v>81</v>
      </c>
      <c r="C26" s="15" t="s">
        <v>82</v>
      </c>
      <c r="D26" s="15" t="s">
        <v>83</v>
      </c>
      <c r="E26" s="15" t="s">
        <v>67</v>
      </c>
      <c r="F26" s="16"/>
      <c r="G26" s="17">
        <v>20.8</v>
      </c>
      <c r="H26" s="17">
        <v>22.0</v>
      </c>
      <c r="I26" s="17">
        <f t="shared" si="1"/>
        <v>21.4</v>
      </c>
      <c r="J26" s="15" t="s">
        <v>126</v>
      </c>
      <c r="K26" s="15" t="s">
        <v>176</v>
      </c>
      <c r="L26" s="15" t="s">
        <v>254</v>
      </c>
      <c r="M26" s="15" t="s">
        <v>177</v>
      </c>
      <c r="N26" s="15" t="s">
        <v>255</v>
      </c>
    </row>
    <row r="27" ht="15.75" customHeight="1">
      <c r="A27" s="15" t="s">
        <v>167</v>
      </c>
      <c r="B27" s="15" t="s">
        <v>180</v>
      </c>
      <c r="C27" s="15" t="s">
        <v>82</v>
      </c>
      <c r="D27" s="15" t="s">
        <v>83</v>
      </c>
      <c r="E27" s="15" t="s">
        <v>67</v>
      </c>
      <c r="F27" s="16"/>
      <c r="G27" s="17">
        <v>20.35</v>
      </c>
      <c r="H27" s="17">
        <v>20.35</v>
      </c>
      <c r="I27" s="17">
        <f t="shared" si="1"/>
        <v>20.35</v>
      </c>
      <c r="J27" s="15" t="s">
        <v>126</v>
      </c>
      <c r="K27" s="15" t="s">
        <v>43</v>
      </c>
      <c r="L27" s="15" t="s">
        <v>254</v>
      </c>
      <c r="M27" s="15" t="s">
        <v>177</v>
      </c>
      <c r="N27" s="15" t="s">
        <v>256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0.0"/>
    <col customWidth="1" min="3" max="3" width="26.0"/>
    <col customWidth="1" min="4" max="4" width="24.0"/>
    <col customWidth="1" min="5" max="8" width="12.0"/>
    <col customWidth="1" min="9" max="9" width="20.0"/>
    <col customWidth="1" min="10" max="10" width="58.0"/>
    <col customWidth="1" min="11" max="26" width="8.63"/>
  </cols>
  <sheetData>
    <row r="1">
      <c r="A1" s="14" t="s">
        <v>16</v>
      </c>
      <c r="B1" s="14" t="s">
        <v>18</v>
      </c>
      <c r="C1" s="14" t="s">
        <v>19</v>
      </c>
      <c r="D1" s="14" t="s">
        <v>20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32</v>
      </c>
      <c r="J1" s="14" t="s">
        <v>30</v>
      </c>
    </row>
    <row r="2">
      <c r="A2" s="15" t="s">
        <v>33</v>
      </c>
      <c r="B2" s="15" t="s">
        <v>34</v>
      </c>
      <c r="C2" s="15" t="s">
        <v>36</v>
      </c>
      <c r="D2" s="15" t="s">
        <v>37</v>
      </c>
      <c r="E2" s="17">
        <v>81715.0</v>
      </c>
      <c r="F2" s="17">
        <v>15000.0</v>
      </c>
      <c r="G2" s="17">
        <v>15000.0</v>
      </c>
      <c r="H2" s="17">
        <f t="shared" ref="H2:H17" si="1">AVERAGE(F2:G2)</f>
        <v>15000</v>
      </c>
      <c r="I2" s="15" t="s">
        <v>43</v>
      </c>
      <c r="J2" s="15" t="s">
        <v>45</v>
      </c>
    </row>
    <row r="3">
      <c r="A3" s="15" t="s">
        <v>47</v>
      </c>
      <c r="B3" s="15" t="s">
        <v>48</v>
      </c>
      <c r="C3" s="15" t="s">
        <v>36</v>
      </c>
      <c r="D3" s="15" t="s">
        <v>37</v>
      </c>
      <c r="E3" s="17"/>
      <c r="F3" s="17">
        <v>15000.0</v>
      </c>
      <c r="G3" s="17">
        <v>16000.0</v>
      </c>
      <c r="H3" s="17">
        <f t="shared" si="1"/>
        <v>15500</v>
      </c>
      <c r="I3" s="15" t="s">
        <v>54</v>
      </c>
      <c r="J3" s="15" t="s">
        <v>55</v>
      </c>
    </row>
    <row r="4">
      <c r="A4" s="15" t="s">
        <v>47</v>
      </c>
      <c r="B4" s="15" t="s">
        <v>56</v>
      </c>
      <c r="C4" s="15" t="s">
        <v>57</v>
      </c>
      <c r="D4" s="15" t="s">
        <v>37</v>
      </c>
      <c r="E4" s="17"/>
      <c r="F4" s="17">
        <v>26000.0</v>
      </c>
      <c r="G4" s="17">
        <v>28000.0</v>
      </c>
      <c r="H4" s="17">
        <f t="shared" si="1"/>
        <v>27000</v>
      </c>
      <c r="I4" s="15" t="s">
        <v>54</v>
      </c>
      <c r="J4" s="15" t="s">
        <v>55</v>
      </c>
    </row>
    <row r="5">
      <c r="A5" s="15" t="s">
        <v>65</v>
      </c>
      <c r="B5" s="15" t="s">
        <v>56</v>
      </c>
      <c r="C5" s="15" t="s">
        <v>36</v>
      </c>
      <c r="D5" s="15" t="s">
        <v>68</v>
      </c>
      <c r="E5" s="17">
        <v>82000.0</v>
      </c>
      <c r="F5" s="17">
        <v>27000.0</v>
      </c>
      <c r="G5" s="17">
        <v>27000.0</v>
      </c>
      <c r="H5" s="17">
        <f t="shared" si="1"/>
        <v>27000</v>
      </c>
      <c r="I5" s="15" t="s">
        <v>43</v>
      </c>
      <c r="J5" s="15" t="s">
        <v>71</v>
      </c>
    </row>
    <row r="6">
      <c r="A6" s="15" t="s">
        <v>72</v>
      </c>
      <c r="B6" s="15" t="s">
        <v>74</v>
      </c>
      <c r="C6" s="15" t="s">
        <v>36</v>
      </c>
      <c r="D6" s="15" t="s">
        <v>37</v>
      </c>
      <c r="E6" s="17"/>
      <c r="F6" s="17">
        <v>17000.0</v>
      </c>
      <c r="G6" s="17">
        <v>19000.0</v>
      </c>
      <c r="H6" s="17">
        <f t="shared" si="1"/>
        <v>18000</v>
      </c>
      <c r="I6" s="15" t="s">
        <v>54</v>
      </c>
      <c r="J6" s="15" t="s">
        <v>79</v>
      </c>
    </row>
    <row r="7">
      <c r="A7" s="15" t="s">
        <v>72</v>
      </c>
      <c r="B7" s="15" t="s">
        <v>56</v>
      </c>
      <c r="C7" s="15" t="s">
        <v>36</v>
      </c>
      <c r="D7" s="15" t="s">
        <v>37</v>
      </c>
      <c r="E7" s="17"/>
      <c r="F7" s="17">
        <v>20000.0</v>
      </c>
      <c r="G7" s="17">
        <v>27000.0</v>
      </c>
      <c r="H7" s="17">
        <f t="shared" si="1"/>
        <v>23500</v>
      </c>
      <c r="I7" s="15" t="s">
        <v>54</v>
      </c>
      <c r="J7" s="15" t="s">
        <v>79</v>
      </c>
    </row>
    <row r="8">
      <c r="A8" s="15" t="s">
        <v>96</v>
      </c>
      <c r="B8" s="15" t="s">
        <v>97</v>
      </c>
      <c r="C8" s="15" t="s">
        <v>36</v>
      </c>
      <c r="D8" s="15" t="s">
        <v>68</v>
      </c>
      <c r="E8" s="17">
        <v>83416.0</v>
      </c>
      <c r="F8" s="17">
        <v>26000.0</v>
      </c>
      <c r="G8" s="17">
        <v>26000.0</v>
      </c>
      <c r="H8" s="17">
        <f t="shared" si="1"/>
        <v>26000</v>
      </c>
      <c r="I8" s="15" t="s">
        <v>43</v>
      </c>
      <c r="J8" s="15" t="s">
        <v>99</v>
      </c>
    </row>
    <row r="9">
      <c r="A9" s="15" t="s">
        <v>114</v>
      </c>
      <c r="B9" s="15" t="s">
        <v>105</v>
      </c>
      <c r="C9" s="15" t="s">
        <v>118</v>
      </c>
      <c r="D9" s="15" t="s">
        <v>121</v>
      </c>
      <c r="E9" s="17"/>
      <c r="F9" s="17">
        <v>15000.0</v>
      </c>
      <c r="G9" s="17">
        <v>15000.0</v>
      </c>
      <c r="H9" s="17">
        <f t="shared" si="1"/>
        <v>15000</v>
      </c>
      <c r="I9" s="15" t="s">
        <v>109</v>
      </c>
      <c r="J9" s="15" t="s">
        <v>111</v>
      </c>
    </row>
    <row r="10">
      <c r="A10" s="15" t="s">
        <v>133</v>
      </c>
      <c r="B10" s="15" t="s">
        <v>134</v>
      </c>
      <c r="C10" s="15" t="s">
        <v>118</v>
      </c>
      <c r="D10" s="15" t="s">
        <v>140</v>
      </c>
      <c r="E10" s="17">
        <v>82000.0</v>
      </c>
      <c r="F10" s="17">
        <v>15897.0</v>
      </c>
      <c r="G10" s="17">
        <v>15897.0</v>
      </c>
      <c r="H10" s="17">
        <f t="shared" si="1"/>
        <v>15897</v>
      </c>
      <c r="I10" s="15" t="s">
        <v>150</v>
      </c>
      <c r="J10" s="15" t="s">
        <v>151</v>
      </c>
    </row>
    <row r="11">
      <c r="A11" s="15" t="s">
        <v>153</v>
      </c>
      <c r="B11" s="15" t="s">
        <v>156</v>
      </c>
      <c r="C11" s="15" t="s">
        <v>36</v>
      </c>
      <c r="D11" s="15" t="s">
        <v>68</v>
      </c>
      <c r="E11" s="17">
        <v>81000.0</v>
      </c>
      <c r="F11" s="17">
        <v>25000.0</v>
      </c>
      <c r="G11" s="17">
        <v>25000.0</v>
      </c>
      <c r="H11" s="17">
        <f t="shared" si="1"/>
        <v>25000</v>
      </c>
      <c r="I11" s="15" t="s">
        <v>43</v>
      </c>
      <c r="J11" s="15" t="s">
        <v>169</v>
      </c>
    </row>
    <row r="12">
      <c r="A12" s="15" t="s">
        <v>153</v>
      </c>
      <c r="B12" s="15" t="s">
        <v>173</v>
      </c>
      <c r="C12" s="15" t="s">
        <v>36</v>
      </c>
      <c r="D12" s="15" t="s">
        <v>68</v>
      </c>
      <c r="E12" s="17">
        <v>82000.0</v>
      </c>
      <c r="F12" s="17">
        <v>22500.0</v>
      </c>
      <c r="G12" s="17">
        <v>22500.0</v>
      </c>
      <c r="H12" s="17">
        <f t="shared" si="1"/>
        <v>22500</v>
      </c>
      <c r="I12" s="15" t="s">
        <v>43</v>
      </c>
      <c r="J12" s="15" t="s">
        <v>169</v>
      </c>
    </row>
    <row r="13">
      <c r="A13" s="15" t="s">
        <v>153</v>
      </c>
      <c r="B13" s="15" t="s">
        <v>48</v>
      </c>
      <c r="C13" s="15" t="s">
        <v>36</v>
      </c>
      <c r="D13" s="15" t="s">
        <v>68</v>
      </c>
      <c r="E13" s="17">
        <v>82000.0</v>
      </c>
      <c r="F13" s="17">
        <v>25000.0</v>
      </c>
      <c r="G13" s="17">
        <v>25000.0</v>
      </c>
      <c r="H13" s="17">
        <f t="shared" si="1"/>
        <v>25000</v>
      </c>
      <c r="I13" s="15" t="s">
        <v>43</v>
      </c>
      <c r="J13" s="15" t="s">
        <v>169</v>
      </c>
    </row>
    <row r="14">
      <c r="A14" s="15" t="s">
        <v>188</v>
      </c>
      <c r="B14" s="15" t="s">
        <v>189</v>
      </c>
      <c r="C14" s="15" t="s">
        <v>36</v>
      </c>
      <c r="D14" s="15" t="s">
        <v>83</v>
      </c>
      <c r="E14" s="17">
        <v>75000.0</v>
      </c>
      <c r="F14" s="17">
        <v>20000.0</v>
      </c>
      <c r="G14" s="17">
        <v>20000.0</v>
      </c>
      <c r="H14" s="17">
        <f t="shared" si="1"/>
        <v>20000</v>
      </c>
      <c r="I14" s="15" t="s">
        <v>43</v>
      </c>
      <c r="J14" s="15" t="s">
        <v>191</v>
      </c>
    </row>
    <row r="15">
      <c r="A15" s="15" t="s">
        <v>188</v>
      </c>
      <c r="B15" s="15" t="s">
        <v>173</v>
      </c>
      <c r="C15" s="15" t="s">
        <v>36</v>
      </c>
      <c r="D15" s="15" t="s">
        <v>68</v>
      </c>
      <c r="E15" s="17">
        <v>82000.0</v>
      </c>
      <c r="F15" s="17">
        <v>25000.0</v>
      </c>
      <c r="G15" s="17">
        <v>25000.0</v>
      </c>
      <c r="H15" s="17">
        <f t="shared" si="1"/>
        <v>25000</v>
      </c>
      <c r="I15" s="15" t="s">
        <v>43</v>
      </c>
      <c r="J15" s="15" t="s">
        <v>191</v>
      </c>
    </row>
    <row r="16">
      <c r="A16" s="15" t="s">
        <v>194</v>
      </c>
      <c r="B16" s="15" t="s">
        <v>195</v>
      </c>
      <c r="C16" s="15" t="s">
        <v>36</v>
      </c>
      <c r="D16" s="15" t="s">
        <v>68</v>
      </c>
      <c r="E16" s="17">
        <v>81824.0</v>
      </c>
      <c r="F16" s="17">
        <v>25750.0</v>
      </c>
      <c r="G16" s="17">
        <v>25750.0</v>
      </c>
      <c r="H16" s="17">
        <f t="shared" si="1"/>
        <v>25750</v>
      </c>
      <c r="I16" s="15" t="s">
        <v>43</v>
      </c>
      <c r="J16" s="15" t="s">
        <v>168</v>
      </c>
    </row>
    <row r="17">
      <c r="A17" s="15" t="s">
        <v>197</v>
      </c>
      <c r="B17" s="15" t="s">
        <v>189</v>
      </c>
      <c r="C17" s="15" t="s">
        <v>36</v>
      </c>
      <c r="D17" s="15" t="s">
        <v>68</v>
      </c>
      <c r="E17" s="17">
        <v>81601.0</v>
      </c>
      <c r="F17" s="17">
        <v>19000.0</v>
      </c>
      <c r="G17" s="17">
        <v>19000.0</v>
      </c>
      <c r="H17" s="17">
        <f t="shared" si="1"/>
        <v>19000</v>
      </c>
      <c r="I17" s="15" t="s">
        <v>43</v>
      </c>
      <c r="J17" s="15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30.0"/>
    <col customWidth="1" min="3" max="3" width="28.0"/>
    <col customWidth="1" min="4" max="4" width="22.0"/>
    <col customWidth="1" min="5" max="5" width="26.0"/>
    <col customWidth="1" min="6" max="8" width="12.0"/>
    <col customWidth="1" min="9" max="9" width="22.0"/>
    <col customWidth="1" min="10" max="10" width="58.0"/>
    <col customWidth="1" min="11" max="26" width="8.63"/>
  </cols>
  <sheetData>
    <row r="1">
      <c r="A1" s="18" t="s">
        <v>16</v>
      </c>
      <c r="B1" s="18" t="s">
        <v>18</v>
      </c>
      <c r="C1" s="18" t="s">
        <v>19</v>
      </c>
      <c r="D1" s="18" t="s">
        <v>20</v>
      </c>
      <c r="E1" s="18" t="s">
        <v>21</v>
      </c>
      <c r="F1" s="18" t="s">
        <v>24</v>
      </c>
      <c r="G1" s="18" t="s">
        <v>25</v>
      </c>
      <c r="H1" s="18" t="s">
        <v>26</v>
      </c>
      <c r="I1" s="18" t="s">
        <v>32</v>
      </c>
      <c r="J1" s="18" t="s">
        <v>30</v>
      </c>
    </row>
    <row r="2">
      <c r="A2" s="15" t="s">
        <v>80</v>
      </c>
      <c r="B2" s="15" t="s">
        <v>81</v>
      </c>
      <c r="C2" s="15" t="s">
        <v>82</v>
      </c>
      <c r="D2" s="15" t="s">
        <v>83</v>
      </c>
      <c r="E2" s="15" t="s">
        <v>84</v>
      </c>
      <c r="F2" s="17">
        <v>20.0</v>
      </c>
      <c r="G2" s="17">
        <v>20.0</v>
      </c>
      <c r="H2" s="17">
        <f t="shared" ref="H2:H11" si="1">AVERAGE(F2:G2)</f>
        <v>20</v>
      </c>
      <c r="I2" s="15" t="s">
        <v>43</v>
      </c>
      <c r="J2" s="15" t="s">
        <v>91</v>
      </c>
    </row>
    <row r="3">
      <c r="A3" s="15" t="s">
        <v>80</v>
      </c>
      <c r="B3" s="15" t="s">
        <v>94</v>
      </c>
      <c r="C3" s="15" t="s">
        <v>95</v>
      </c>
      <c r="D3" s="15" t="s">
        <v>83</v>
      </c>
      <c r="E3" s="15" t="s">
        <v>67</v>
      </c>
      <c r="F3" s="17">
        <v>18.0</v>
      </c>
      <c r="G3" s="17">
        <v>18.0</v>
      </c>
      <c r="H3" s="17">
        <f t="shared" si="1"/>
        <v>18</v>
      </c>
      <c r="I3" s="15" t="s">
        <v>100</v>
      </c>
      <c r="J3" s="15" t="s">
        <v>91</v>
      </c>
    </row>
    <row r="4">
      <c r="A4" s="15" t="s">
        <v>80</v>
      </c>
      <c r="B4" s="15" t="s">
        <v>104</v>
      </c>
      <c r="C4" s="15" t="s">
        <v>95</v>
      </c>
      <c r="D4" s="15" t="s">
        <v>83</v>
      </c>
      <c r="E4" s="15" t="s">
        <v>67</v>
      </c>
      <c r="F4" s="17">
        <v>15.05</v>
      </c>
      <c r="G4" s="17">
        <v>15.05</v>
      </c>
      <c r="H4" s="17">
        <f t="shared" si="1"/>
        <v>15.05</v>
      </c>
      <c r="I4" s="15" t="s">
        <v>100</v>
      </c>
      <c r="J4" s="15" t="s">
        <v>91</v>
      </c>
    </row>
    <row r="5">
      <c r="A5" s="15" t="s">
        <v>113</v>
      </c>
      <c r="B5" s="15" t="s">
        <v>81</v>
      </c>
      <c r="C5" s="15" t="s">
        <v>82</v>
      </c>
      <c r="D5" s="15" t="s">
        <v>83</v>
      </c>
      <c r="E5" s="15" t="s">
        <v>84</v>
      </c>
      <c r="F5" s="17">
        <v>23.4</v>
      </c>
      <c r="G5" s="17">
        <v>23.4</v>
      </c>
      <c r="H5" s="17">
        <f t="shared" si="1"/>
        <v>23.4</v>
      </c>
      <c r="I5" s="15" t="s">
        <v>123</v>
      </c>
      <c r="J5" s="15" t="s">
        <v>124</v>
      </c>
    </row>
    <row r="6">
      <c r="A6" s="15" t="s">
        <v>113</v>
      </c>
      <c r="B6" s="15" t="s">
        <v>127</v>
      </c>
      <c r="C6" s="15" t="s">
        <v>95</v>
      </c>
      <c r="D6" s="15" t="s">
        <v>83</v>
      </c>
      <c r="E6" s="15" t="s">
        <v>84</v>
      </c>
      <c r="F6" s="17">
        <v>21.2</v>
      </c>
      <c r="G6" s="17">
        <v>21.2</v>
      </c>
      <c r="H6" s="17">
        <f t="shared" si="1"/>
        <v>21.2</v>
      </c>
      <c r="I6" s="15" t="s">
        <v>123</v>
      </c>
      <c r="J6" s="15" t="s">
        <v>124</v>
      </c>
    </row>
    <row r="7">
      <c r="A7" s="15" t="s">
        <v>113</v>
      </c>
      <c r="B7" s="15" t="s">
        <v>135</v>
      </c>
      <c r="C7" s="15" t="s">
        <v>82</v>
      </c>
      <c r="D7" s="15" t="s">
        <v>137</v>
      </c>
      <c r="E7" s="15" t="s">
        <v>67</v>
      </c>
      <c r="F7" s="17">
        <v>14.85</v>
      </c>
      <c r="G7" s="17">
        <v>14.85</v>
      </c>
      <c r="H7" s="17">
        <f t="shared" si="1"/>
        <v>14.85</v>
      </c>
      <c r="I7" s="15" t="s">
        <v>123</v>
      </c>
      <c r="J7" s="15" t="s">
        <v>124</v>
      </c>
    </row>
    <row r="8">
      <c r="A8" s="15" t="s">
        <v>147</v>
      </c>
      <c r="B8" s="15" t="s">
        <v>148</v>
      </c>
      <c r="C8" s="15" t="s">
        <v>149</v>
      </c>
      <c r="D8" s="15" t="s">
        <v>68</v>
      </c>
      <c r="E8" s="15" t="s">
        <v>39</v>
      </c>
      <c r="F8" s="17">
        <v>42.95</v>
      </c>
      <c r="G8" s="17">
        <v>42.95</v>
      </c>
      <c r="H8" s="17">
        <f t="shared" si="1"/>
        <v>42.95</v>
      </c>
      <c r="I8" s="15" t="s">
        <v>43</v>
      </c>
      <c r="J8" s="15" t="s">
        <v>141</v>
      </c>
    </row>
    <row r="9">
      <c r="A9" s="15" t="s">
        <v>159</v>
      </c>
      <c r="B9" s="15" t="s">
        <v>161</v>
      </c>
      <c r="C9" s="15" t="s">
        <v>149</v>
      </c>
      <c r="D9" s="15" t="s">
        <v>121</v>
      </c>
      <c r="E9" s="15" t="s">
        <v>39</v>
      </c>
      <c r="F9" s="17">
        <v>45.0</v>
      </c>
      <c r="G9" s="17">
        <v>45.0</v>
      </c>
      <c r="H9" s="17">
        <f t="shared" si="1"/>
        <v>45</v>
      </c>
      <c r="I9" s="15" t="s">
        <v>152</v>
      </c>
      <c r="J9" s="15" t="s">
        <v>155</v>
      </c>
    </row>
    <row r="10">
      <c r="A10" s="15" t="s">
        <v>167</v>
      </c>
      <c r="B10" s="15" t="s">
        <v>81</v>
      </c>
      <c r="C10" s="15" t="s">
        <v>82</v>
      </c>
      <c r="D10" s="15" t="s">
        <v>83</v>
      </c>
      <c r="E10" s="15" t="s">
        <v>67</v>
      </c>
      <c r="F10" s="17">
        <v>20.8</v>
      </c>
      <c r="G10" s="17">
        <v>22.0</v>
      </c>
      <c r="H10" s="17">
        <f t="shared" si="1"/>
        <v>21.4</v>
      </c>
      <c r="I10" s="15" t="s">
        <v>176</v>
      </c>
      <c r="J10" s="15" t="s">
        <v>177</v>
      </c>
    </row>
    <row r="11">
      <c r="A11" s="15" t="s">
        <v>167</v>
      </c>
      <c r="B11" s="15" t="s">
        <v>180</v>
      </c>
      <c r="C11" s="15" t="s">
        <v>82</v>
      </c>
      <c r="D11" s="15" t="s">
        <v>83</v>
      </c>
      <c r="E11" s="15" t="s">
        <v>67</v>
      </c>
      <c r="F11" s="17">
        <v>20.35</v>
      </c>
      <c r="G11" s="17">
        <v>20.35</v>
      </c>
      <c r="H11" s="17">
        <f t="shared" si="1"/>
        <v>20.35</v>
      </c>
      <c r="I11" s="15" t="s">
        <v>43</v>
      </c>
      <c r="J11" s="15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8.0"/>
    <col customWidth="1" min="3" max="3" width="24.0"/>
    <col customWidth="1" min="4" max="4" width="18.0"/>
    <col customWidth="1" min="5" max="5" width="56.0"/>
    <col customWidth="1" min="6" max="26" width="8.63"/>
  </cols>
  <sheetData>
    <row r="1">
      <c r="A1" s="19" t="s">
        <v>17</v>
      </c>
      <c r="B1" s="19" t="s">
        <v>199</v>
      </c>
      <c r="C1" s="19" t="s">
        <v>200</v>
      </c>
      <c r="D1" s="19" t="s">
        <v>201</v>
      </c>
      <c r="E1" s="19" t="s">
        <v>202</v>
      </c>
    </row>
    <row r="2">
      <c r="A2" s="11" t="s">
        <v>203</v>
      </c>
      <c r="B2" s="11" t="s">
        <v>204</v>
      </c>
      <c r="C2" s="11" t="s">
        <v>205</v>
      </c>
      <c r="D2" s="11" t="s">
        <v>206</v>
      </c>
      <c r="E2" s="11" t="s">
        <v>207</v>
      </c>
    </row>
    <row r="3">
      <c r="A3" s="11" t="s">
        <v>208</v>
      </c>
      <c r="B3" s="11" t="s">
        <v>209</v>
      </c>
      <c r="C3" s="11" t="s">
        <v>210</v>
      </c>
      <c r="D3" s="11" t="s">
        <v>206</v>
      </c>
      <c r="E3" s="11" t="s">
        <v>212</v>
      </c>
    </row>
    <row r="4">
      <c r="A4" s="11" t="s">
        <v>213</v>
      </c>
      <c r="B4" s="11" t="s">
        <v>214</v>
      </c>
      <c r="C4" s="11" t="s">
        <v>210</v>
      </c>
      <c r="D4" s="11" t="s">
        <v>206</v>
      </c>
      <c r="E4" s="11" t="s">
        <v>215</v>
      </c>
    </row>
    <row r="5">
      <c r="A5" s="11" t="s">
        <v>216</v>
      </c>
      <c r="B5" s="11" t="s">
        <v>217</v>
      </c>
      <c r="C5" s="11" t="s">
        <v>210</v>
      </c>
      <c r="D5" s="11" t="s">
        <v>206</v>
      </c>
      <c r="E5" s="11" t="s">
        <v>219</v>
      </c>
    </row>
    <row r="6">
      <c r="A6" s="11" t="s">
        <v>220</v>
      </c>
      <c r="B6" s="11" t="s">
        <v>221</v>
      </c>
      <c r="C6" s="11" t="s">
        <v>210</v>
      </c>
      <c r="D6" s="11" t="s">
        <v>206</v>
      </c>
      <c r="E6" s="11" t="s">
        <v>222</v>
      </c>
    </row>
    <row r="7">
      <c r="A7" s="11" t="s">
        <v>223</v>
      </c>
      <c r="B7" s="11" t="s">
        <v>224</v>
      </c>
      <c r="C7" s="11" t="s">
        <v>225</v>
      </c>
      <c r="D7" s="11" t="s">
        <v>226</v>
      </c>
      <c r="E7" s="11" t="s">
        <v>227</v>
      </c>
    </row>
    <row r="8">
      <c r="A8" s="11" t="s">
        <v>228</v>
      </c>
      <c r="B8" s="11" t="s">
        <v>229</v>
      </c>
      <c r="C8" s="11" t="s">
        <v>210</v>
      </c>
      <c r="D8" s="11" t="s">
        <v>206</v>
      </c>
      <c r="E8" s="11" t="s">
        <v>230</v>
      </c>
    </row>
    <row r="9">
      <c r="A9" s="11" t="s">
        <v>231</v>
      </c>
      <c r="B9" s="11" t="s">
        <v>232</v>
      </c>
      <c r="C9" s="11" t="s">
        <v>233</v>
      </c>
      <c r="D9" s="11" t="s">
        <v>206</v>
      </c>
      <c r="E9" s="11" t="s">
        <v>234</v>
      </c>
    </row>
    <row r="10">
      <c r="A10" s="11" t="s">
        <v>159</v>
      </c>
      <c r="B10" s="11" t="s">
        <v>235</v>
      </c>
      <c r="C10" s="11" t="s">
        <v>236</v>
      </c>
      <c r="D10" s="11" t="s">
        <v>206</v>
      </c>
      <c r="E10" s="11" t="s">
        <v>237</v>
      </c>
    </row>
    <row r="11">
      <c r="A11" s="11" t="s">
        <v>194</v>
      </c>
      <c r="B11" s="11" t="s">
        <v>238</v>
      </c>
      <c r="C11" s="11" t="s">
        <v>236</v>
      </c>
      <c r="D11" s="11" t="s">
        <v>206</v>
      </c>
      <c r="E11" s="11" t="s">
        <v>237</v>
      </c>
    </row>
    <row r="12">
      <c r="A12" s="11" t="s">
        <v>197</v>
      </c>
      <c r="B12" s="11" t="s">
        <v>239</v>
      </c>
      <c r="C12" s="11" t="s">
        <v>236</v>
      </c>
      <c r="D12" s="11" t="s">
        <v>206</v>
      </c>
      <c r="E12" s="11" t="s">
        <v>237</v>
      </c>
    </row>
    <row r="13">
      <c r="A13" s="11" t="s">
        <v>167</v>
      </c>
      <c r="B13" s="11" t="s">
        <v>240</v>
      </c>
      <c r="C13" s="11" t="s">
        <v>236</v>
      </c>
      <c r="D13" s="11" t="s">
        <v>206</v>
      </c>
      <c r="E13" s="11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3">
    <cfRule type="expression" dxfId="6" priority="1">
      <formula>D2="Available"</formula>
    </cfRule>
  </conditionalFormatting>
  <conditionalFormatting sqref="D2:D13">
    <cfRule type="expression" dxfId="7" priority="2">
      <formula>D2="Partial"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0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A3" s="21" t="s">
        <v>17</v>
      </c>
      <c r="B3" s="21" t="s">
        <v>258</v>
      </c>
    </row>
    <row r="4">
      <c r="A4" s="22" t="s">
        <v>38</v>
      </c>
      <c r="B4" s="22">
        <v>15000.0</v>
      </c>
    </row>
    <row r="5">
      <c r="A5" s="22" t="s">
        <v>52</v>
      </c>
      <c r="B5" s="22">
        <v>15500.0</v>
      </c>
    </row>
    <row r="6">
      <c r="A6" s="22" t="s">
        <v>62</v>
      </c>
      <c r="B6" s="22">
        <v>27000.0</v>
      </c>
    </row>
    <row r="7">
      <c r="A7" s="22" t="s">
        <v>75</v>
      </c>
      <c r="B7" s="22">
        <v>18000.0</v>
      </c>
    </row>
    <row r="8">
      <c r="A8" s="22" t="s">
        <v>87</v>
      </c>
      <c r="B8" s="22">
        <v>26000.0</v>
      </c>
    </row>
    <row r="9">
      <c r="A9" s="22" t="s">
        <v>102</v>
      </c>
      <c r="B9" s="22">
        <v>15000.0</v>
      </c>
    </row>
    <row r="10">
      <c r="A10" s="22" t="s">
        <v>158</v>
      </c>
      <c r="B10" s="22">
        <v>25750.0</v>
      </c>
    </row>
    <row r="11">
      <c r="A11" s="22" t="s">
        <v>171</v>
      </c>
      <c r="B11" s="22">
        <v>19000.0</v>
      </c>
    </row>
    <row r="21" ht="15.75" customHeight="1"/>
    <row r="22" ht="15.75" customHeight="1">
      <c r="A22" s="23" t="s">
        <v>17</v>
      </c>
      <c r="B22" s="23" t="s">
        <v>259</v>
      </c>
    </row>
    <row r="23" ht="15.75" customHeight="1">
      <c r="A23" s="22" t="s">
        <v>115</v>
      </c>
      <c r="B23" s="22">
        <v>20.0</v>
      </c>
    </row>
    <row r="24" ht="15.75" customHeight="1">
      <c r="A24" s="22" t="s">
        <v>130</v>
      </c>
      <c r="B24" s="22">
        <v>42.95</v>
      </c>
    </row>
    <row r="25" ht="15.75" customHeight="1">
      <c r="A25" s="22" t="s">
        <v>143</v>
      </c>
      <c r="B25" s="22">
        <v>45.0</v>
      </c>
    </row>
    <row r="26" ht="15.75" customHeight="1">
      <c r="A26" s="22" t="s">
        <v>182</v>
      </c>
      <c r="B26" s="22">
        <v>21.4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A40" s="19" t="s">
        <v>17</v>
      </c>
      <c r="B40" s="19" t="s">
        <v>260</v>
      </c>
    </row>
    <row r="41" ht="15.75" customHeight="1">
      <c r="A41" s="22" t="s">
        <v>38</v>
      </c>
      <c r="B41" s="22">
        <v>1.0</v>
      </c>
    </row>
    <row r="42" ht="15.75" customHeight="1">
      <c r="A42" s="22" t="s">
        <v>52</v>
      </c>
      <c r="B42" s="22">
        <v>2.0</v>
      </c>
    </row>
    <row r="43" ht="15.75" customHeight="1">
      <c r="A43" s="22" t="s">
        <v>62</v>
      </c>
      <c r="B43" s="22">
        <v>1.0</v>
      </c>
    </row>
    <row r="44" ht="15.75" customHeight="1">
      <c r="A44" s="22" t="s">
        <v>75</v>
      </c>
      <c r="B44" s="22">
        <v>3.0</v>
      </c>
    </row>
    <row r="45" ht="15.75" customHeight="1">
      <c r="A45" s="22" t="s">
        <v>87</v>
      </c>
      <c r="B45" s="22">
        <v>1.0</v>
      </c>
    </row>
    <row r="46" ht="15.75" customHeight="1">
      <c r="A46" s="22" t="s">
        <v>102</v>
      </c>
      <c r="B46" s="22">
        <v>1.0</v>
      </c>
    </row>
    <row r="47" ht="15.75" customHeight="1">
      <c r="A47" s="22" t="s">
        <v>115</v>
      </c>
      <c r="B47" s="22">
        <v>4.0</v>
      </c>
    </row>
    <row r="48" ht="15.75" customHeight="1">
      <c r="A48" s="22" t="s">
        <v>130</v>
      </c>
      <c r="B48" s="22">
        <v>8.0</v>
      </c>
    </row>
    <row r="49" ht="15.75" customHeight="1">
      <c r="A49" s="22" t="s">
        <v>143</v>
      </c>
      <c r="B49" s="22">
        <v>1.0</v>
      </c>
    </row>
    <row r="50" ht="15.75" customHeight="1">
      <c r="A50" s="22" t="s">
        <v>158</v>
      </c>
      <c r="B50" s="22">
        <v>1.0</v>
      </c>
    </row>
    <row r="51" ht="15.75" customHeight="1">
      <c r="A51" s="22" t="s">
        <v>171</v>
      </c>
      <c r="B51" s="22">
        <v>1.0</v>
      </c>
    </row>
    <row r="52" ht="15.75" customHeight="1">
      <c r="A52" s="22" t="s">
        <v>182</v>
      </c>
      <c r="B52" s="22">
        <v>2.0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2026-09-12T06:24:18Z</dcterms:created>
  <dc:creator>Ayush Singh</dc:creator>
</cp:coreProperties>
</file>